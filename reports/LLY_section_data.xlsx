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ports/"/>
    </mc:Choice>
  </mc:AlternateContent>
  <xr:revisionPtr revIDLastSave="27" documentId="11_861143FD2E8662FC5064BE5FA0F9B8319B8AC6E0" xr6:coauthVersionLast="47" xr6:coauthVersionMax="47" xr10:uidLastSave="{43A18E25-A7AF-42B2-A509-767D74F4F21C}"/>
  <bookViews>
    <workbookView xWindow="27900" yWindow="1200" windowWidth="28800" windowHeight="22200" xr2:uid="{00000000-000D-0000-FFFF-FFFF00000000}"/>
  </bookViews>
  <sheets>
    <sheet name="00_Index" sheetId="1" r:id="rId1"/>
    <sheet name="01_Runtime_Summary" sheetId="2" r:id="rId2"/>
    <sheet name="B_Historical_Performance" sheetId="3" r:id="rId3"/>
    <sheet name="C_ProForma_Forecast" sheetId="4" r:id="rId4"/>
    <sheet name="D_FCFF_Components" sheetId="5" r:id="rId5"/>
    <sheet name="E2_DCF_Decomposition" sheetId="6" r:id="rId6"/>
    <sheet name="E_Relative_Valuation" sheetId="7" r:id="rId7"/>
    <sheet name="F_Target_Price_Comp" sheetId="8" r:id="rId8"/>
    <sheet name="G_Chart_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9" l="1"/>
  <c r="M32" i="9"/>
</calcChain>
</file>

<file path=xl/sharedStrings.xml><?xml version="1.0" encoding="utf-8"?>
<sst xmlns="http://schemas.openxmlformats.org/spreadsheetml/2006/main" count="360" uniqueCount="184">
  <si>
    <t>sheet_name</t>
  </si>
  <si>
    <t>description</t>
  </si>
  <si>
    <t>00_Index</t>
  </si>
  <si>
    <t>Workbook index</t>
  </si>
  <si>
    <t>01_Runtime_Summary</t>
  </si>
  <si>
    <t>Ticker / model / parameter summary</t>
  </si>
  <si>
    <t>B_Historical_Performance</t>
  </si>
  <si>
    <t>Section B historical performance (12Q)</t>
  </si>
  <si>
    <t>C_ProForma_Forecast</t>
  </si>
  <si>
    <t>Section C forward pro-forma (8Q)</t>
  </si>
  <si>
    <t>D_FCFF_Components</t>
  </si>
  <si>
    <t>Section D FCFF components</t>
  </si>
  <si>
    <t>E2_DCF_Decomposition</t>
  </si>
  <si>
    <t>Section E-2 DCF decomposition summary</t>
  </si>
  <si>
    <t>E_Relative_Valuation</t>
  </si>
  <si>
    <t>Section E relative valuation</t>
  </si>
  <si>
    <t>F_Target_Price_Comp</t>
  </si>
  <si>
    <t>Section F target price comparison</t>
  </si>
  <si>
    <t>G_Chart_Data</t>
  </si>
  <si>
    <t>Section G chart source data</t>
  </si>
  <si>
    <t>item</t>
  </si>
  <si>
    <t>value</t>
  </si>
  <si>
    <t>ticker</t>
  </si>
  <si>
    <t>LLY</t>
  </si>
  <si>
    <t>current_price</t>
  </si>
  <si>
    <t>sales_model</t>
  </si>
  <si>
    <t>Ensemble</t>
  </si>
  <si>
    <t>hist_qtrs</t>
  </si>
  <si>
    <t>fwd_qtrs</t>
  </si>
  <si>
    <t>tax_rate</t>
  </si>
  <si>
    <t>da_ratio_alpha</t>
  </si>
  <si>
    <t>capex_ratio_beta</t>
  </si>
  <si>
    <t>nwc_ratio_gamma</t>
  </si>
  <si>
    <t>alpha_method</t>
  </si>
  <si>
    <t>ols</t>
  </si>
  <si>
    <t>beta_method</t>
  </si>
  <si>
    <t>median_ratio</t>
  </si>
  <si>
    <t>gamma_method</t>
  </si>
  <si>
    <t>fcff_target_price</t>
  </si>
  <si>
    <t>fcff_upside_pct</t>
  </si>
  <si>
    <t>wacc</t>
  </si>
  <si>
    <t>g_terminal</t>
  </si>
  <si>
    <t>fcff_run_date</t>
  </si>
  <si>
    <t>2026-04-14</t>
  </si>
  <si>
    <t>tp_pbr</t>
  </si>
  <si>
    <t>tp_per</t>
  </si>
  <si>
    <t>tp_psr</t>
  </si>
  <si>
    <t>tp_avg</t>
  </si>
  <si>
    <t>upside_pbr</t>
  </si>
  <si>
    <t>upside_per</t>
  </si>
  <si>
    <t>upside_psr</t>
  </si>
  <si>
    <t>upside_avg</t>
  </si>
  <si>
    <t>actual_pbr</t>
  </si>
  <si>
    <t>actual_per</t>
  </si>
  <si>
    <t>actual_psr</t>
  </si>
  <si>
    <t>pbr_theory</t>
  </si>
  <si>
    <t>per_theory</t>
  </si>
  <si>
    <t>psr_theory</t>
  </si>
  <si>
    <t>re_low</t>
  </si>
  <si>
    <t>re_mid</t>
  </si>
  <si>
    <t>re_high</t>
  </si>
  <si>
    <t>g_est</t>
  </si>
  <si>
    <t>roe_y1</t>
  </si>
  <si>
    <t>roe_y2</t>
  </si>
  <si>
    <t>date</t>
  </si>
  <si>
    <t>Quarter</t>
  </si>
  <si>
    <t>Sales</t>
  </si>
  <si>
    <t>EBIT</t>
  </si>
  <si>
    <t>NOPAT</t>
  </si>
  <si>
    <t>OPM</t>
  </si>
  <si>
    <t>NPM</t>
  </si>
  <si>
    <t>Sales_YoY</t>
  </si>
  <si>
    <t>2022Q2</t>
  </si>
  <si>
    <t>2022Q3</t>
  </si>
  <si>
    <t>2023Q1</t>
  </si>
  <si>
    <t>2023Q2</t>
  </si>
  <si>
    <t>2023Q3</t>
  </si>
  <si>
    <t>2024Q1</t>
  </si>
  <si>
    <t>2024Q2</t>
  </si>
  <si>
    <t>2024Q3</t>
  </si>
  <si>
    <t>2025Q1</t>
  </si>
  <si>
    <t>2025Q2</t>
  </si>
  <si>
    <t>2025Q3</t>
  </si>
  <si>
    <t>2025Q4</t>
  </si>
  <si>
    <t>quarter</t>
  </si>
  <si>
    <t>DA</t>
  </si>
  <si>
    <t>CapEx</t>
  </si>
  <si>
    <t>NWC</t>
  </si>
  <si>
    <t>ΔNWC</t>
  </si>
  <si>
    <t>FCFF</t>
  </si>
  <si>
    <t>1Q_F</t>
  </si>
  <si>
    <t>2026Q1</t>
  </si>
  <si>
    <t>2Q_F</t>
  </si>
  <si>
    <t>2026Q2</t>
  </si>
  <si>
    <t>3Q_F</t>
  </si>
  <si>
    <t>2026Q3</t>
  </si>
  <si>
    <t>4Q_F</t>
  </si>
  <si>
    <t>2026Q4</t>
  </si>
  <si>
    <t>5Q_F</t>
  </si>
  <si>
    <t>2027Q1</t>
  </si>
  <si>
    <t>6Q_F</t>
  </si>
  <si>
    <t>2027Q2</t>
  </si>
  <si>
    <t>7Q_F</t>
  </si>
  <si>
    <t>2027Q3</t>
  </si>
  <si>
    <t>8Q_F</t>
  </si>
  <si>
    <t>2027Q4</t>
  </si>
  <si>
    <t>source</t>
  </si>
  <si>
    <t>col_label</t>
  </si>
  <si>
    <t>historical</t>
  </si>
  <si>
    <t>forecast</t>
  </si>
  <si>
    <t>metric</t>
  </si>
  <si>
    <t>_run_date</t>
  </si>
  <si>
    <t>_wacc</t>
  </si>
  <si>
    <t>_g_term</t>
  </si>
  <si>
    <t>_db_tp</t>
  </si>
  <si>
    <t>_db_up</t>
  </si>
  <si>
    <t>_rho</t>
  </si>
  <si>
    <t>_g0</t>
  </si>
  <si>
    <t>_n_ph2</t>
  </si>
  <si>
    <t>_moat_label</t>
  </si>
  <si>
    <t>Wide moat</t>
  </si>
  <si>
    <t>_pv_fcff</t>
  </si>
  <si>
    <t>_pv_tv</t>
  </si>
  <si>
    <t>_ev_recon</t>
  </si>
  <si>
    <t>_fcff_last_ann</t>
  </si>
  <si>
    <t>_tv</t>
  </si>
  <si>
    <t>_T_total</t>
  </si>
  <si>
    <t>phase1_fcff_year_1</t>
  </si>
  <si>
    <t>phase1_fcff_year_2</t>
  </si>
  <si>
    <t>phase2_fcff_year_3</t>
  </si>
  <si>
    <t>phase2_fcff_year_4</t>
  </si>
  <si>
    <t>phase2_fcff_year_5</t>
  </si>
  <si>
    <t>phase2_fcff_year_6</t>
  </si>
  <si>
    <t>phase2_fcff_year_7</t>
  </si>
  <si>
    <t>phase2_fcff_year_8</t>
  </si>
  <si>
    <t>phase2_fcff_year_9</t>
  </si>
  <si>
    <t>phase2_fcff_year_10</t>
  </si>
  <si>
    <t>phase2_fcff_year_11</t>
  </si>
  <si>
    <t>phase2_fcff_year_12</t>
  </si>
  <si>
    <t>phase2_fcff_year_13</t>
  </si>
  <si>
    <t>phase2_fcff_year_14</t>
  </si>
  <si>
    <t>phase2_fcff_year_15</t>
  </si>
  <si>
    <t>phase2_fcff_year_16</t>
  </si>
  <si>
    <t>phase2_fcff_year_17</t>
  </si>
  <si>
    <t>phase2_growth_year_3</t>
  </si>
  <si>
    <t>phase2_growth_year_4</t>
  </si>
  <si>
    <t>phase2_growth_year_5</t>
  </si>
  <si>
    <t>phase2_growth_year_6</t>
  </si>
  <si>
    <t>phase2_growth_year_7</t>
  </si>
  <si>
    <t>phase2_growth_year_8</t>
  </si>
  <si>
    <t>phase2_growth_year_9</t>
  </si>
  <si>
    <t>phase2_growth_year_10</t>
  </si>
  <si>
    <t>phase2_growth_year_11</t>
  </si>
  <si>
    <t>phase2_growth_year_12</t>
  </si>
  <si>
    <t>phase2_growth_year_13</t>
  </si>
  <si>
    <t>phase2_growth_year_14</t>
  </si>
  <si>
    <t>phase2_growth_year_15</t>
  </si>
  <si>
    <t>phase2_growth_year_16</t>
  </si>
  <si>
    <t>phase2_growth_year_17</t>
  </si>
  <si>
    <t>section</t>
  </si>
  <si>
    <t>dupont_2yr</t>
  </si>
  <si>
    <t>sales_y1</t>
  </si>
  <si>
    <t>sales_y2</t>
  </si>
  <si>
    <t>npm_y1</t>
  </si>
  <si>
    <t>npm_y2</t>
  </si>
  <si>
    <t>at_y1</t>
  </si>
  <si>
    <t>at_y2</t>
  </si>
  <si>
    <t>fl_y1</t>
  </si>
  <si>
    <t>fl_y2</t>
  </si>
  <si>
    <t>relative_valuation</t>
  </si>
  <si>
    <t>beta_raw</t>
  </si>
  <si>
    <t>beta_blume</t>
  </si>
  <si>
    <t>beta_sector</t>
  </si>
  <si>
    <t>beta_ensemble</t>
  </si>
  <si>
    <t>Method</t>
  </si>
  <si>
    <t>Target Price</t>
  </si>
  <si>
    <t>Upside (%)</t>
  </si>
  <si>
    <t>Current</t>
  </si>
  <si>
    <t>FCFF DCF</t>
  </si>
  <si>
    <t>PBR</t>
  </si>
  <si>
    <t>PER</t>
  </si>
  <si>
    <t>PSR</t>
  </si>
  <si>
    <t>Avg(PBR/PER/PSR)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</si>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</sst>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0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6.5" x14ac:dyDescent="0.3"/>
  <sheetData>
    <row r="1" spans="1:2" x14ac:dyDescent="0.3">
      <c r="A1" s="1" t="s">
        <v>20</v>
      </c>
      <c r="B1" s="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>
        <v>929.55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>
        <v>12</v>
      </c>
    </row>
    <row r="6" spans="1:2" x14ac:dyDescent="0.3">
      <c r="A6" t="s">
        <v>28</v>
      </c>
      <c r="B6">
        <v>8</v>
      </c>
    </row>
    <row r="7" spans="1:2" x14ac:dyDescent="0.3">
      <c r="A7" t="s">
        <v>29</v>
      </c>
      <c r="B7">
        <v>0.21</v>
      </c>
    </row>
    <row r="8" spans="1:2" x14ac:dyDescent="0.3">
      <c r="A8" t="s">
        <v>30</v>
      </c>
      <c r="B8">
        <v>1.292539799432512E-2</v>
      </c>
    </row>
    <row r="9" spans="1:2" x14ac:dyDescent="0.3">
      <c r="A9" t="s">
        <v>31</v>
      </c>
      <c r="B9">
        <v>7.9126899964651817E-2</v>
      </c>
    </row>
    <row r="10" spans="1:2" x14ac:dyDescent="0.3">
      <c r="A10" t="s">
        <v>32</v>
      </c>
      <c r="B10">
        <v>-2.355864845384589</v>
      </c>
    </row>
    <row r="11" spans="1:2" x14ac:dyDescent="0.3">
      <c r="A11" t="s">
        <v>33</v>
      </c>
      <c r="B11" t="s">
        <v>34</v>
      </c>
    </row>
    <row r="12" spans="1:2" x14ac:dyDescent="0.3">
      <c r="A12" t="s">
        <v>35</v>
      </c>
      <c r="B12" t="s">
        <v>36</v>
      </c>
    </row>
    <row r="13" spans="1:2" x14ac:dyDescent="0.3">
      <c r="A13" t="s">
        <v>37</v>
      </c>
      <c r="B13" t="s">
        <v>34</v>
      </c>
    </row>
    <row r="14" spans="1:2" x14ac:dyDescent="0.3">
      <c r="A14" t="s">
        <v>38</v>
      </c>
      <c r="B14">
        <v>2610.7814496810761</v>
      </c>
    </row>
    <row r="15" spans="1:2" x14ac:dyDescent="0.3">
      <c r="A15" t="s">
        <v>39</v>
      </c>
      <c r="B15">
        <v>180.86509060094409</v>
      </c>
    </row>
    <row r="16" spans="1:2" x14ac:dyDescent="0.3">
      <c r="A16" t="s">
        <v>40</v>
      </c>
      <c r="B16">
        <v>9.9452678216368204E-2</v>
      </c>
    </row>
    <row r="17" spans="1:2" x14ac:dyDescent="0.3">
      <c r="A17" t="s">
        <v>41</v>
      </c>
      <c r="B17">
        <v>0.04</v>
      </c>
    </row>
    <row r="18" spans="1:2" x14ac:dyDescent="0.3">
      <c r="A18" t="s">
        <v>42</v>
      </c>
      <c r="B18" t="s">
        <v>43</v>
      </c>
    </row>
    <row r="19" spans="1:2" x14ac:dyDescent="0.3">
      <c r="A19" t="s">
        <v>44</v>
      </c>
      <c r="B19">
        <v>2860.731996910517</v>
      </c>
    </row>
    <row r="20" spans="1:2" x14ac:dyDescent="0.3">
      <c r="A20" t="s">
        <v>45</v>
      </c>
      <c r="B20">
        <v>1819.3826247714369</v>
      </c>
    </row>
    <row r="21" spans="1:2" x14ac:dyDescent="0.3">
      <c r="A21" t="s">
        <v>46</v>
      </c>
      <c r="B21">
        <v>1026.362084611251</v>
      </c>
    </row>
    <row r="22" spans="1:2" x14ac:dyDescent="0.3">
      <c r="A22" t="s">
        <v>47</v>
      </c>
      <c r="B22">
        <v>1902.1589020977351</v>
      </c>
    </row>
    <row r="23" spans="1:2" x14ac:dyDescent="0.3">
      <c r="A23" t="s">
        <v>48</v>
      </c>
      <c r="B23">
        <v>204.50488008244201</v>
      </c>
    </row>
    <row r="24" spans="1:2" x14ac:dyDescent="0.3">
      <c r="A24" t="s">
        <v>49</v>
      </c>
      <c r="B24">
        <v>93.660534638832189</v>
      </c>
    </row>
    <row r="25" spans="1:2" x14ac:dyDescent="0.3">
      <c r="A25" t="s">
        <v>50</v>
      </c>
      <c r="B25">
        <v>9.2490536803997436</v>
      </c>
    </row>
    <row r="26" spans="1:2" x14ac:dyDescent="0.3">
      <c r="A26" t="s">
        <v>51</v>
      </c>
      <c r="B26">
        <v>102.4714894672246</v>
      </c>
    </row>
    <row r="27" spans="1:2" x14ac:dyDescent="0.3">
      <c r="A27" t="s">
        <v>52</v>
      </c>
      <c r="B27">
        <v>12.996639355429529</v>
      </c>
    </row>
    <row r="28" spans="1:2" x14ac:dyDescent="0.3">
      <c r="A28" t="s">
        <v>53</v>
      </c>
      <c r="B28">
        <v>20.55963000274593</v>
      </c>
    </row>
    <row r="29" spans="1:2" x14ac:dyDescent="0.3">
      <c r="A29" t="s">
        <v>54</v>
      </c>
      <c r="B29">
        <v>7.7566495811099312</v>
      </c>
    </row>
    <row r="30" spans="1:2" x14ac:dyDescent="0.3">
      <c r="A30" t="s">
        <v>55</v>
      </c>
      <c r="B30">
        <v>39.575401083998159</v>
      </c>
    </row>
    <row r="31" spans="1:2" x14ac:dyDescent="0.3">
      <c r="A31" t="s">
        <v>56</v>
      </c>
      <c r="B31">
        <v>39.815889383083523</v>
      </c>
    </row>
    <row r="32" spans="1:2" x14ac:dyDescent="0.3">
      <c r="A32" t="s">
        <v>57</v>
      </c>
      <c r="B32">
        <v>8.4740662646672895</v>
      </c>
    </row>
    <row r="33" spans="1:2" x14ac:dyDescent="0.3">
      <c r="A33" t="s">
        <v>58</v>
      </c>
      <c r="B33">
        <v>8.2383499999999998E-2</v>
      </c>
    </row>
    <row r="34" spans="1:2" x14ac:dyDescent="0.3">
      <c r="A34" t="s">
        <v>59</v>
      </c>
      <c r="B34">
        <v>9.3383499999999994E-2</v>
      </c>
    </row>
    <row r="35" spans="1:2" x14ac:dyDescent="0.3">
      <c r="A35" t="s">
        <v>60</v>
      </c>
      <c r="B35">
        <v>0.1043835</v>
      </c>
    </row>
    <row r="36" spans="1:2" x14ac:dyDescent="0.3">
      <c r="A36" t="s">
        <v>61</v>
      </c>
      <c r="B36">
        <v>0.08</v>
      </c>
    </row>
    <row r="37" spans="1:2" x14ac:dyDescent="0.3">
      <c r="A37" t="s">
        <v>62</v>
      </c>
      <c r="B37">
        <v>0.99395999178188554</v>
      </c>
    </row>
    <row r="38" spans="1:2" x14ac:dyDescent="0.3">
      <c r="A38" t="s">
        <v>63</v>
      </c>
      <c r="B38">
        <v>0.99395999178188554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G6" sqref="G6"/>
    </sheetView>
  </sheetViews>
  <sheetFormatPr defaultRowHeight="16.5" x14ac:dyDescent="0.3"/>
  <cols>
    <col min="2" max="2" width="12.75" bestFit="1" customWidth="1"/>
    <col min="3" max="4" width="11.625" bestFit="1" customWidth="1"/>
    <col min="5" max="5" width="12.75" bestFit="1" customWidth="1"/>
    <col min="6" max="6" width="13.625" bestFit="1" customWidth="1"/>
  </cols>
  <sheetData>
    <row r="1" spans="1:7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3">
      <c r="A2" t="s">
        <v>72</v>
      </c>
      <c r="B2">
        <v>6488000000</v>
      </c>
      <c r="C2">
        <v>1744800000</v>
      </c>
      <c r="D2">
        <v>1378392000</v>
      </c>
      <c r="E2">
        <v>0.26892725030826142</v>
      </c>
      <c r="F2">
        <v>0.14680949445129471</v>
      </c>
    </row>
    <row r="3" spans="1:7" x14ac:dyDescent="0.3">
      <c r="A3" t="s">
        <v>73</v>
      </c>
      <c r="B3">
        <v>6941600000</v>
      </c>
      <c r="C3">
        <v>2037800000</v>
      </c>
      <c r="D3">
        <v>1609862000</v>
      </c>
      <c r="E3">
        <v>0.293563443586493</v>
      </c>
      <c r="F3">
        <v>0.20913045983634901</v>
      </c>
    </row>
    <row r="4" spans="1:7" x14ac:dyDescent="0.3">
      <c r="A4" t="s">
        <v>74</v>
      </c>
      <c r="B4">
        <v>6960000000</v>
      </c>
      <c r="C4">
        <v>1714800000</v>
      </c>
      <c r="D4">
        <v>1354692000</v>
      </c>
      <c r="E4">
        <v>0.2463793103448276</v>
      </c>
      <c r="F4">
        <v>0.19323275862068959</v>
      </c>
    </row>
    <row r="5" spans="1:7" x14ac:dyDescent="0.3">
      <c r="A5" t="s">
        <v>75</v>
      </c>
      <c r="B5">
        <v>8312100000</v>
      </c>
      <c r="C5">
        <v>2338400000</v>
      </c>
      <c r="D5">
        <v>1847336000</v>
      </c>
      <c r="E5">
        <v>0.28132481563022582</v>
      </c>
      <c r="F5">
        <v>0.21212449320869581</v>
      </c>
    </row>
    <row r="6" spans="1:7" x14ac:dyDescent="0.3">
      <c r="A6" t="s">
        <v>76</v>
      </c>
      <c r="B6">
        <v>9498600000</v>
      </c>
      <c r="C6">
        <v>3541000000</v>
      </c>
      <c r="D6">
        <v>2797390000</v>
      </c>
      <c r="E6">
        <v>0.37279177984123968</v>
      </c>
      <c r="F6">
        <v>-6.042995809908829E-3</v>
      </c>
      <c r="G6" s="3">
        <v>0.46402589395807642</v>
      </c>
    </row>
    <row r="7" spans="1:7" x14ac:dyDescent="0.3">
      <c r="A7" t="s">
        <v>77</v>
      </c>
      <c r="B7">
        <v>8768000000</v>
      </c>
      <c r="C7">
        <v>2735600000</v>
      </c>
      <c r="D7">
        <v>2161124000</v>
      </c>
      <c r="E7">
        <v>0.31199817518248169</v>
      </c>
      <c r="F7">
        <v>0.25580520072992702</v>
      </c>
      <c r="G7" s="3">
        <v>0.2631093695977873</v>
      </c>
    </row>
    <row r="8" spans="1:7" x14ac:dyDescent="0.3">
      <c r="A8" t="s">
        <v>78</v>
      </c>
      <c r="B8">
        <v>11302800000</v>
      </c>
      <c r="C8">
        <v>4418500000</v>
      </c>
      <c r="D8">
        <v>3490615000</v>
      </c>
      <c r="E8">
        <v>0.39092083377570158</v>
      </c>
      <c r="F8">
        <v>0.26250132710478818</v>
      </c>
      <c r="G8" s="3">
        <v>0.62396551724137939</v>
      </c>
    </row>
    <row r="9" spans="1:7" x14ac:dyDescent="0.3">
      <c r="A9" t="s">
        <v>79</v>
      </c>
      <c r="B9">
        <v>11439100000</v>
      </c>
      <c r="C9">
        <v>4549800000</v>
      </c>
      <c r="D9">
        <v>3594342000</v>
      </c>
      <c r="E9">
        <v>0.39774108102910188</v>
      </c>
      <c r="F9">
        <v>8.4823106712940702E-2</v>
      </c>
      <c r="G9" s="3">
        <v>0.37619855391537649</v>
      </c>
    </row>
    <row r="10" spans="1:7" x14ac:dyDescent="0.3">
      <c r="A10" t="s">
        <v>80</v>
      </c>
      <c r="B10">
        <v>12728500000</v>
      </c>
      <c r="C10">
        <v>5408400000</v>
      </c>
      <c r="D10">
        <v>4272636000</v>
      </c>
      <c r="E10">
        <v>0.42490474132851469</v>
      </c>
      <c r="F10">
        <v>0.21678123895195819</v>
      </c>
      <c r="G10" s="3">
        <v>0.34003958478091501</v>
      </c>
    </row>
    <row r="11" spans="1:7" x14ac:dyDescent="0.3">
      <c r="A11" t="s">
        <v>81</v>
      </c>
      <c r="B11">
        <v>15557700000</v>
      </c>
      <c r="C11">
        <v>7126200000</v>
      </c>
      <c r="D11">
        <v>5629698000</v>
      </c>
      <c r="E11">
        <v>0.4580497117183131</v>
      </c>
      <c r="F11">
        <v>0.36383912789165501</v>
      </c>
      <c r="G11" s="3">
        <v>0.77437271897810223</v>
      </c>
    </row>
    <row r="12" spans="1:7" x14ac:dyDescent="0.3">
      <c r="A12" t="s">
        <v>82</v>
      </c>
      <c r="B12">
        <v>17600800000</v>
      </c>
      <c r="C12">
        <v>8386100000</v>
      </c>
      <c r="D12">
        <v>6625019000</v>
      </c>
      <c r="E12">
        <v>0.47646129721376301</v>
      </c>
      <c r="F12">
        <v>0.3171730830416799</v>
      </c>
      <c r="G12" s="3">
        <v>0.55720706373641926</v>
      </c>
    </row>
    <row r="13" spans="1:7" x14ac:dyDescent="0.3">
      <c r="A13" t="s">
        <v>83</v>
      </c>
      <c r="B13">
        <v>19292000000</v>
      </c>
      <c r="C13">
        <v>8775300000</v>
      </c>
      <c r="D13">
        <v>6932487000</v>
      </c>
      <c r="E13">
        <v>0.45486730250881202</v>
      </c>
      <c r="F13">
        <v>0.34397677793904208</v>
      </c>
      <c r="G13" s="3">
        <v>0.68649631526955801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I13" sqref="I13"/>
    </sheetView>
  </sheetViews>
  <sheetFormatPr defaultRowHeight="16.5" x14ac:dyDescent="0.3"/>
  <sheetData>
    <row r="1" spans="1:11" x14ac:dyDescent="0.3">
      <c r="A1" s="1" t="s">
        <v>65</v>
      </c>
      <c r="B1" s="1" t="s">
        <v>84</v>
      </c>
      <c r="C1" s="1" t="s">
        <v>66</v>
      </c>
      <c r="D1" s="1" t="s">
        <v>69</v>
      </c>
      <c r="E1" s="1" t="s">
        <v>67</v>
      </c>
      <c r="F1" s="1" t="s">
        <v>68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</row>
    <row r="2" spans="1:11" x14ac:dyDescent="0.3">
      <c r="A2" t="s">
        <v>90</v>
      </c>
      <c r="B2" t="s">
        <v>91</v>
      </c>
      <c r="C2">
        <v>18286909587.12138</v>
      </c>
      <c r="D2">
        <v>0.46799771582535571</v>
      </c>
      <c r="E2">
        <v>8558231916.2776031</v>
      </c>
      <c r="F2">
        <v>6761003213.8593063</v>
      </c>
      <c r="G2">
        <v>236365584.4997834</v>
      </c>
      <c r="H2">
        <v>1446986465.5627861</v>
      </c>
      <c r="I2">
        <v>-43081487427.025673</v>
      </c>
      <c r="J2">
        <v>0</v>
      </c>
      <c r="K2">
        <v>5550382332.7963047</v>
      </c>
    </row>
    <row r="3" spans="1:11" x14ac:dyDescent="0.3">
      <c r="A3" t="s">
        <v>92</v>
      </c>
      <c r="B3" t="s">
        <v>93</v>
      </c>
      <c r="C3">
        <v>20505119541.566429</v>
      </c>
      <c r="D3">
        <v>0.47179150880756848</v>
      </c>
      <c r="E3">
        <v>9674141286.7951851</v>
      </c>
      <c r="F3">
        <v>7642571616.5681963</v>
      </c>
      <c r="G3">
        <v>265036830.99595949</v>
      </c>
      <c r="H3">
        <v>1622506542.728754</v>
      </c>
      <c r="I3">
        <v>-48307290278.384933</v>
      </c>
      <c r="J3">
        <v>-5225802851.3592529</v>
      </c>
      <c r="K3">
        <v>11510904756.194651</v>
      </c>
    </row>
    <row r="4" spans="1:11" x14ac:dyDescent="0.3">
      <c r="A4" t="s">
        <v>94</v>
      </c>
      <c r="B4" t="s">
        <v>95</v>
      </c>
      <c r="C4">
        <v>21806434720.233349</v>
      </c>
      <c r="D4">
        <v>0.4793358289928355</v>
      </c>
      <c r="E4">
        <v>10452605464.0012</v>
      </c>
      <c r="F4">
        <v>8257558316.5609493</v>
      </c>
      <c r="G4">
        <v>281856847.59628558</v>
      </c>
      <c r="H4">
        <v>1725475578.693614</v>
      </c>
      <c r="I4">
        <v>-51373012960.571671</v>
      </c>
      <c r="J4">
        <v>-3065722682.1867452</v>
      </c>
      <c r="K4">
        <v>9879662267.6503658</v>
      </c>
    </row>
    <row r="5" spans="1:11" x14ac:dyDescent="0.3">
      <c r="A5" t="s">
        <v>96</v>
      </c>
      <c r="B5" t="s">
        <v>97</v>
      </c>
      <c r="C5">
        <v>24625845735.630791</v>
      </c>
      <c r="D5">
        <v>0.4927057707328375</v>
      </c>
      <c r="E5">
        <v>12133296303.121929</v>
      </c>
      <c r="F5">
        <v>9585304079.4663239</v>
      </c>
      <c r="G5">
        <v>318298857.07988191</v>
      </c>
      <c r="H5">
        <v>1948566832.0682051</v>
      </c>
      <c r="I5">
        <v>-58015164256.436577</v>
      </c>
      <c r="J5">
        <v>-6642151295.8649063</v>
      </c>
      <c r="K5">
        <v>14597187400.342911</v>
      </c>
    </row>
    <row r="6" spans="1:11" x14ac:dyDescent="0.3">
      <c r="A6" t="s">
        <v>98</v>
      </c>
      <c r="B6" t="s">
        <v>99</v>
      </c>
      <c r="C6">
        <v>23538663851.67028</v>
      </c>
      <c r="D6">
        <v>0.50325011851279389</v>
      </c>
      <c r="E6">
        <v>11845835372.985889</v>
      </c>
      <c r="F6">
        <v>9358209944.6588516</v>
      </c>
      <c r="G6">
        <v>304246598.53747219</v>
      </c>
      <c r="H6">
        <v>1862541499.8926799</v>
      </c>
      <c r="I6">
        <v>-55453910675.475037</v>
      </c>
      <c r="J6">
        <v>2561253580.9615402</v>
      </c>
      <c r="K6">
        <v>5238661462.342103</v>
      </c>
    </row>
    <row r="7" spans="1:11" x14ac:dyDescent="0.3">
      <c r="A7" t="s">
        <v>100</v>
      </c>
      <c r="B7" t="s">
        <v>101</v>
      </c>
      <c r="C7">
        <v>26164052507.82795</v>
      </c>
      <c r="D7">
        <v>0.5074784600757003</v>
      </c>
      <c r="E7">
        <v>13277693076.012289</v>
      </c>
      <c r="F7">
        <v>10489377530.049709</v>
      </c>
      <c r="G7">
        <v>338180791.80809653</v>
      </c>
      <c r="H7">
        <v>2070280365.4568</v>
      </c>
      <c r="I7">
        <v>-61638971515.98838</v>
      </c>
      <c r="J7">
        <v>-6185060840.5133438</v>
      </c>
      <c r="K7">
        <v>14942338796.914351</v>
      </c>
    </row>
    <row r="8" spans="1:11" x14ac:dyDescent="0.3">
      <c r="A8" t="s">
        <v>102</v>
      </c>
      <c r="B8" t="s">
        <v>103</v>
      </c>
      <c r="C8">
        <v>27761059170.1511</v>
      </c>
      <c r="D8">
        <v>0.51557466839245591</v>
      </c>
      <c r="E8">
        <v>14312898875.874001</v>
      </c>
      <c r="F8">
        <v>11307190111.94046</v>
      </c>
      <c r="G8">
        <v>358822738.51821202</v>
      </c>
      <c r="H8">
        <v>2196646551.8693271</v>
      </c>
      <c r="I8">
        <v>-65401303369.600471</v>
      </c>
      <c r="J8">
        <v>-3762331853.6120911</v>
      </c>
      <c r="K8">
        <v>13231698152.201441</v>
      </c>
    </row>
    <row r="9" spans="1:11" x14ac:dyDescent="0.3">
      <c r="A9" t="s">
        <v>104</v>
      </c>
      <c r="B9" t="s">
        <v>105</v>
      </c>
      <c r="C9">
        <v>31300444139.95694</v>
      </c>
      <c r="D9">
        <v>0.52967222331001884</v>
      </c>
      <c r="E9">
        <v>16578975838.20204</v>
      </c>
      <c r="F9">
        <v>13097390912.179621</v>
      </c>
      <c r="G9">
        <v>404570697.90808481</v>
      </c>
      <c r="H9">
        <v>2476707112.3115449</v>
      </c>
      <c r="I9">
        <v>-73739615994.248627</v>
      </c>
      <c r="J9">
        <v>-8338312624.6481552</v>
      </c>
      <c r="K9">
        <v>19363567122.424309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/>
  </sheetViews>
  <sheetFormatPr defaultRowHeight="16.5" x14ac:dyDescent="0.3"/>
  <cols>
    <col min="2" max="2" width="13.125" bestFit="1" customWidth="1"/>
    <col min="12" max="12" width="12.75" bestFit="1" customWidth="1"/>
  </cols>
  <sheetData>
    <row r="1" spans="1:13" x14ac:dyDescent="0.3">
      <c r="A1" s="1" t="s">
        <v>106</v>
      </c>
      <c r="B1" s="1" t="s">
        <v>64</v>
      </c>
      <c r="C1" s="1" t="s">
        <v>84</v>
      </c>
      <c r="D1" s="1" t="s">
        <v>66</v>
      </c>
      <c r="E1" s="1" t="s">
        <v>69</v>
      </c>
      <c r="F1" s="1" t="s">
        <v>67</v>
      </c>
      <c r="G1" s="1" t="s">
        <v>68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107</v>
      </c>
    </row>
    <row r="2" spans="1:13" x14ac:dyDescent="0.3">
      <c r="A2" t="s">
        <v>108</v>
      </c>
      <c r="B2">
        <v>1.6565472E+18</v>
      </c>
      <c r="C2" t="s">
        <v>72</v>
      </c>
      <c r="D2">
        <v>6488000000</v>
      </c>
      <c r="E2">
        <v>0.26892725030826142</v>
      </c>
      <c r="F2">
        <v>1744800000</v>
      </c>
      <c r="G2">
        <v>1378392000</v>
      </c>
      <c r="H2">
        <v>83859982.187181354</v>
      </c>
      <c r="I2">
        <v>513375326.97066098</v>
      </c>
      <c r="J2">
        <v>-15284851116.855221</v>
      </c>
      <c r="K2">
        <v>3114453325.5984268</v>
      </c>
      <c r="L2">
        <v>-2165576670.381907</v>
      </c>
    </row>
    <row r="3" spans="1:13" x14ac:dyDescent="0.3">
      <c r="A3" t="s">
        <v>108</v>
      </c>
      <c r="B3">
        <v>1.664496E+18</v>
      </c>
      <c r="C3" t="s">
        <v>73</v>
      </c>
      <c r="D3">
        <v>6941600000</v>
      </c>
      <c r="E3">
        <v>0.293563443586493</v>
      </c>
      <c r="F3">
        <v>2037800000</v>
      </c>
      <c r="G3">
        <v>1609862000</v>
      </c>
      <c r="H3">
        <v>89722942.717407227</v>
      </c>
      <c r="I3">
        <v>549267288.79462707</v>
      </c>
      <c r="J3">
        <v>-16353471410.72167</v>
      </c>
      <c r="K3">
        <v>-1068620293.866449</v>
      </c>
      <c r="L3">
        <v>2218937947.7892289</v>
      </c>
    </row>
    <row r="4" spans="1:13" x14ac:dyDescent="0.3">
      <c r="A4" t="s">
        <v>108</v>
      </c>
      <c r="B4">
        <v>1.6802208E+18</v>
      </c>
      <c r="C4" t="s">
        <v>74</v>
      </c>
      <c r="D4">
        <v>6960000000</v>
      </c>
      <c r="E4">
        <v>0.2463793103448276</v>
      </c>
      <c r="F4">
        <v>1714800000</v>
      </c>
      <c r="G4">
        <v>1354692000</v>
      </c>
      <c r="H4">
        <v>89960770.040502816</v>
      </c>
      <c r="I4">
        <v>550723223.7539767</v>
      </c>
      <c r="J4">
        <v>-16396819323.87674</v>
      </c>
      <c r="K4">
        <v>805234604.15245247</v>
      </c>
      <c r="L4">
        <v>88694942.134073615</v>
      </c>
    </row>
    <row r="5" spans="1:13" x14ac:dyDescent="0.3">
      <c r="A5" t="s">
        <v>108</v>
      </c>
      <c r="B5">
        <v>1.6880832E+18</v>
      </c>
      <c r="C5" t="s">
        <v>75</v>
      </c>
      <c r="D5">
        <v>8312100000</v>
      </c>
      <c r="E5">
        <v>0.28132481563022582</v>
      </c>
      <c r="F5">
        <v>2338400000</v>
      </c>
      <c r="G5">
        <v>1847336000</v>
      </c>
      <c r="H5">
        <v>107437200.6686298</v>
      </c>
      <c r="I5">
        <v>657710705.19618237</v>
      </c>
      <c r="J5">
        <v>-19582184181.321251</v>
      </c>
      <c r="K5">
        <v>-3185364857.4445062</v>
      </c>
      <c r="L5">
        <v>4482427352.9169531</v>
      </c>
    </row>
    <row r="6" spans="1:13" x14ac:dyDescent="0.3">
      <c r="A6" t="s">
        <v>108</v>
      </c>
      <c r="B6">
        <v>1.696032E+18</v>
      </c>
      <c r="C6" t="s">
        <v>76</v>
      </c>
      <c r="D6">
        <v>9498600000</v>
      </c>
      <c r="E6">
        <v>0.37279177984123968</v>
      </c>
      <c r="F6">
        <v>3541000000</v>
      </c>
      <c r="G6">
        <v>2797390000</v>
      </c>
      <c r="H6">
        <v>122773185.3888966</v>
      </c>
      <c r="I6">
        <v>751594772.0042417</v>
      </c>
      <c r="J6">
        <v>-22377417820.37006</v>
      </c>
      <c r="K6">
        <v>-2795233639.0488129</v>
      </c>
      <c r="L6">
        <v>4963802052.4334669</v>
      </c>
    </row>
    <row r="7" spans="1:13" x14ac:dyDescent="0.3">
      <c r="A7" t="s">
        <v>108</v>
      </c>
      <c r="B7">
        <v>1.7118432E+18</v>
      </c>
      <c r="C7" t="s">
        <v>77</v>
      </c>
      <c r="D7">
        <v>8768000000</v>
      </c>
      <c r="E7">
        <v>0.31199817518248169</v>
      </c>
      <c r="F7">
        <v>2735600000</v>
      </c>
      <c r="G7">
        <v>2161124000</v>
      </c>
      <c r="H7">
        <v>113329889.6142426</v>
      </c>
      <c r="I7">
        <v>693784658.8900671</v>
      </c>
      <c r="J7">
        <v>-20656222964.332081</v>
      </c>
      <c r="K7">
        <v>1379123280.4881361</v>
      </c>
      <c r="L7">
        <v>201545950.23603919</v>
      </c>
    </row>
    <row r="8" spans="1:13" x14ac:dyDescent="0.3">
      <c r="A8" t="s">
        <v>108</v>
      </c>
      <c r="B8">
        <v>1.7197056E+18</v>
      </c>
      <c r="C8" t="s">
        <v>78</v>
      </c>
      <c r="D8">
        <v>11302800000</v>
      </c>
      <c r="E8">
        <v>0.39092083377570158</v>
      </c>
      <c r="F8">
        <v>4418500000</v>
      </c>
      <c r="G8">
        <v>3490615000</v>
      </c>
      <c r="H8">
        <v>146093188.4502579</v>
      </c>
      <c r="I8">
        <v>894355524.92046654</v>
      </c>
      <c r="J8">
        <v>-26627869174.412941</v>
      </c>
      <c r="K8">
        <v>-5971646210.0808563</v>
      </c>
      <c r="L8">
        <v>8713998873.6106472</v>
      </c>
    </row>
    <row r="9" spans="1:13" x14ac:dyDescent="0.3">
      <c r="A9" t="s">
        <v>108</v>
      </c>
      <c r="B9">
        <v>1.7276544E+18</v>
      </c>
      <c r="C9" t="s">
        <v>79</v>
      </c>
      <c r="D9">
        <v>11439100000</v>
      </c>
      <c r="E9">
        <v>0.39774108102910188</v>
      </c>
      <c r="F9">
        <v>4549800000</v>
      </c>
      <c r="G9">
        <v>3594342000</v>
      </c>
      <c r="H9">
        <v>147854920.19688451</v>
      </c>
      <c r="I9">
        <v>905140521.38564861</v>
      </c>
      <c r="J9">
        <v>-26948973552.83886</v>
      </c>
      <c r="K9">
        <v>-321104378.42591858</v>
      </c>
      <c r="L9">
        <v>3158160777.237154</v>
      </c>
    </row>
    <row r="10" spans="1:13" x14ac:dyDescent="0.3">
      <c r="A10" t="s">
        <v>108</v>
      </c>
      <c r="B10">
        <v>1.7433792E+18</v>
      </c>
      <c r="C10" t="s">
        <v>80</v>
      </c>
      <c r="D10">
        <v>12728500000</v>
      </c>
      <c r="E10">
        <v>0.42490474132851469</v>
      </c>
      <c r="F10">
        <v>5408400000</v>
      </c>
      <c r="G10">
        <v>4272636000</v>
      </c>
      <c r="H10">
        <v>164520928.3707673</v>
      </c>
      <c r="I10">
        <v>1007166746.200071</v>
      </c>
      <c r="J10">
        <v>-29986625684.477749</v>
      </c>
      <c r="K10">
        <v>1894822095.1428261</v>
      </c>
      <c r="L10">
        <v>1535168087.0278709</v>
      </c>
    </row>
    <row r="11" spans="1:13" x14ac:dyDescent="0.3">
      <c r="A11" t="s">
        <v>108</v>
      </c>
      <c r="B11">
        <v>1.7512416E+18</v>
      </c>
      <c r="C11" t="s">
        <v>81</v>
      </c>
      <c r="D11">
        <v>15557700000</v>
      </c>
      <c r="E11">
        <v>0.4580497117183131</v>
      </c>
      <c r="F11">
        <v>7126200000</v>
      </c>
      <c r="G11">
        <v>5629698000</v>
      </c>
      <c r="H11">
        <v>201089464.3763119</v>
      </c>
      <c r="I11">
        <v>1231032571.5800641</v>
      </c>
      <c r="J11">
        <v>-36651838505.039833</v>
      </c>
      <c r="K11">
        <v>-6665212820.5620804</v>
      </c>
      <c r="L11">
        <v>11264967713.35833</v>
      </c>
    </row>
    <row r="12" spans="1:13" x14ac:dyDescent="0.3">
      <c r="A12" t="s">
        <v>108</v>
      </c>
      <c r="B12">
        <v>1.7591904E+18</v>
      </c>
      <c r="C12" t="s">
        <v>82</v>
      </c>
      <c r="D12">
        <v>17600800000</v>
      </c>
      <c r="E12">
        <v>0.47646129721376301</v>
      </c>
      <c r="F12">
        <v>8386100000</v>
      </c>
      <c r="G12">
        <v>6625019000</v>
      </c>
      <c r="H12">
        <v>227497345.01851749</v>
      </c>
      <c r="I12">
        <v>1392696740.8978441</v>
      </c>
      <c r="J12">
        <v>-41465105970.645081</v>
      </c>
      <c r="K12">
        <v>-4813267465.6052551</v>
      </c>
      <c r="L12">
        <v>10273087069.725929</v>
      </c>
    </row>
    <row r="13" spans="1:13" x14ac:dyDescent="0.3">
      <c r="A13" t="s">
        <v>108</v>
      </c>
      <c r="B13">
        <v>1.7671392E+18</v>
      </c>
      <c r="C13" t="s">
        <v>83</v>
      </c>
      <c r="D13">
        <v>19292000000</v>
      </c>
      <c r="E13">
        <v>0.45486730250881202</v>
      </c>
      <c r="F13">
        <v>8775300000</v>
      </c>
      <c r="G13">
        <v>6932487000</v>
      </c>
      <c r="H13">
        <v>249356778.10652009</v>
      </c>
      <c r="I13">
        <v>1526516154.118063</v>
      </c>
      <c r="J13">
        <v>-45449344597.1595</v>
      </c>
      <c r="K13">
        <v>-3984238626.51442</v>
      </c>
      <c r="L13">
        <v>9639566250.5028763</v>
      </c>
    </row>
    <row r="14" spans="1:13" x14ac:dyDescent="0.3">
      <c r="A14" t="s">
        <v>109</v>
      </c>
      <c r="B14">
        <v>1.7749152E+18</v>
      </c>
      <c r="C14" t="s">
        <v>91</v>
      </c>
      <c r="D14">
        <v>18286909587.12138</v>
      </c>
      <c r="E14">
        <v>0.46799771582535571</v>
      </c>
      <c r="F14">
        <v>8558231916.2776031</v>
      </c>
      <c r="G14">
        <v>6761003213.8593063</v>
      </c>
      <c r="H14">
        <v>236365584.4997834</v>
      </c>
      <c r="I14">
        <v>1446986465.5627861</v>
      </c>
      <c r="J14">
        <v>-43081487427.025673</v>
      </c>
      <c r="K14">
        <v>0</v>
      </c>
      <c r="L14">
        <v>5550382332.7963047</v>
      </c>
      <c r="M14" t="s">
        <v>90</v>
      </c>
    </row>
    <row r="15" spans="1:13" x14ac:dyDescent="0.3">
      <c r="A15" t="s">
        <v>109</v>
      </c>
      <c r="B15">
        <v>1.7827776E+18</v>
      </c>
      <c r="C15" t="s">
        <v>93</v>
      </c>
      <c r="D15">
        <v>20505119541.566429</v>
      </c>
      <c r="E15">
        <v>0.47179150880756848</v>
      </c>
      <c r="F15">
        <v>9674141286.7951851</v>
      </c>
      <c r="G15">
        <v>7642571616.5681963</v>
      </c>
      <c r="H15">
        <v>265036830.99595949</v>
      </c>
      <c r="I15">
        <v>1622506542.728754</v>
      </c>
      <c r="J15">
        <v>-48307290278.384933</v>
      </c>
      <c r="K15">
        <v>-5225802851.3592529</v>
      </c>
      <c r="L15">
        <v>11510904756.194651</v>
      </c>
      <c r="M15" t="s">
        <v>92</v>
      </c>
    </row>
    <row r="16" spans="1:13" x14ac:dyDescent="0.3">
      <c r="A16" t="s">
        <v>109</v>
      </c>
      <c r="B16">
        <v>1.7907264E+18</v>
      </c>
      <c r="C16" t="s">
        <v>95</v>
      </c>
      <c r="D16">
        <v>21806434720.233349</v>
      </c>
      <c r="E16">
        <v>0.4793358289928355</v>
      </c>
      <c r="F16">
        <v>10452605464.0012</v>
      </c>
      <c r="G16">
        <v>8257558316.5609493</v>
      </c>
      <c r="H16">
        <v>281856847.59628558</v>
      </c>
      <c r="I16">
        <v>1725475578.693614</v>
      </c>
      <c r="J16">
        <v>-51373012960.571671</v>
      </c>
      <c r="K16">
        <v>-3065722682.1867452</v>
      </c>
      <c r="L16">
        <v>9879662267.6503658</v>
      </c>
      <c r="M16" t="s">
        <v>94</v>
      </c>
    </row>
    <row r="17" spans="1:13" x14ac:dyDescent="0.3">
      <c r="A17" t="s">
        <v>109</v>
      </c>
      <c r="B17">
        <v>1.7986752E+18</v>
      </c>
      <c r="C17" t="s">
        <v>97</v>
      </c>
      <c r="D17">
        <v>24625845735.630791</v>
      </c>
      <c r="E17">
        <v>0.4927057707328375</v>
      </c>
      <c r="F17">
        <v>12133296303.121929</v>
      </c>
      <c r="G17">
        <v>9585304079.4663239</v>
      </c>
      <c r="H17">
        <v>318298857.07988191</v>
      </c>
      <c r="I17">
        <v>1948566832.0682051</v>
      </c>
      <c r="J17">
        <v>-58015164256.436577</v>
      </c>
      <c r="K17">
        <v>-6642151295.8649063</v>
      </c>
      <c r="L17">
        <v>14597187400.342911</v>
      </c>
      <c r="M17" t="s">
        <v>96</v>
      </c>
    </row>
    <row r="18" spans="1:13" x14ac:dyDescent="0.3">
      <c r="A18" t="s">
        <v>109</v>
      </c>
      <c r="B18">
        <v>1.8064512E+18</v>
      </c>
      <c r="C18" t="s">
        <v>99</v>
      </c>
      <c r="D18">
        <v>23538663851.67028</v>
      </c>
      <c r="E18">
        <v>0.50325011851279389</v>
      </c>
      <c r="F18">
        <v>11845835372.985889</v>
      </c>
      <c r="G18">
        <v>9358209944.6588516</v>
      </c>
      <c r="H18">
        <v>304246598.53747219</v>
      </c>
      <c r="I18">
        <v>1862541499.8926799</v>
      </c>
      <c r="J18">
        <v>-55453910675.475037</v>
      </c>
      <c r="K18">
        <v>2561253580.9615402</v>
      </c>
      <c r="L18">
        <v>5238661462.342103</v>
      </c>
      <c r="M18" t="s">
        <v>98</v>
      </c>
    </row>
    <row r="19" spans="1:13" x14ac:dyDescent="0.3">
      <c r="A19" t="s">
        <v>109</v>
      </c>
      <c r="B19">
        <v>1.8143136E+18</v>
      </c>
      <c r="C19" t="s">
        <v>101</v>
      </c>
      <c r="D19">
        <v>26164052507.82795</v>
      </c>
      <c r="E19">
        <v>0.5074784600757003</v>
      </c>
      <c r="F19">
        <v>13277693076.012289</v>
      </c>
      <c r="G19">
        <v>10489377530.049709</v>
      </c>
      <c r="H19">
        <v>338180791.80809653</v>
      </c>
      <c r="I19">
        <v>2070280365.4568</v>
      </c>
      <c r="J19">
        <v>-61638971515.98838</v>
      </c>
      <c r="K19">
        <v>-6185060840.5133438</v>
      </c>
      <c r="L19">
        <v>14942338796.914351</v>
      </c>
      <c r="M19" t="s">
        <v>100</v>
      </c>
    </row>
    <row r="20" spans="1:13" x14ac:dyDescent="0.3">
      <c r="A20" t="s">
        <v>109</v>
      </c>
      <c r="B20">
        <v>1.8222624E+18</v>
      </c>
      <c r="C20" t="s">
        <v>103</v>
      </c>
      <c r="D20">
        <v>27761059170.1511</v>
      </c>
      <c r="E20">
        <v>0.51557466839245591</v>
      </c>
      <c r="F20">
        <v>14312898875.874001</v>
      </c>
      <c r="G20">
        <v>11307190111.94046</v>
      </c>
      <c r="H20">
        <v>358822738.51821202</v>
      </c>
      <c r="I20">
        <v>2196646551.8693271</v>
      </c>
      <c r="J20">
        <v>-65401303369.600471</v>
      </c>
      <c r="K20">
        <v>-3762331853.6120911</v>
      </c>
      <c r="L20">
        <v>13231698152.201441</v>
      </c>
      <c r="M20" t="s">
        <v>102</v>
      </c>
    </row>
    <row r="21" spans="1:13" x14ac:dyDescent="0.3">
      <c r="A21" t="s">
        <v>109</v>
      </c>
      <c r="B21">
        <v>1.8302112E+18</v>
      </c>
      <c r="C21" t="s">
        <v>105</v>
      </c>
      <c r="D21">
        <v>31300444139.95694</v>
      </c>
      <c r="E21">
        <v>0.52967222331001884</v>
      </c>
      <c r="F21">
        <v>16578975838.20204</v>
      </c>
      <c r="G21">
        <v>13097390912.179621</v>
      </c>
      <c r="H21">
        <v>404570697.90808481</v>
      </c>
      <c r="I21">
        <v>2476707112.3115449</v>
      </c>
      <c r="J21">
        <v>-73739615994.248627</v>
      </c>
      <c r="K21">
        <v>-8338312624.6481552</v>
      </c>
      <c r="L21">
        <v>19363567122.424309</v>
      </c>
      <c r="M21" t="s">
        <v>104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8"/>
  <sheetViews>
    <sheetView workbookViewId="0">
      <selection activeCell="B33" sqref="B17:B33"/>
    </sheetView>
  </sheetViews>
  <sheetFormatPr defaultRowHeight="16.5" x14ac:dyDescent="0.3"/>
  <cols>
    <col min="1" max="1" width="22.5" bestFit="1" customWidth="1"/>
    <col min="2" max="2" width="18.25" customWidth="1"/>
  </cols>
  <sheetData>
    <row r="1" spans="1:2" x14ac:dyDescent="0.3">
      <c r="A1" s="1" t="s">
        <v>110</v>
      </c>
      <c r="B1" s="1" t="s">
        <v>21</v>
      </c>
    </row>
    <row r="2" spans="1:2" x14ac:dyDescent="0.3">
      <c r="A2" t="s">
        <v>111</v>
      </c>
      <c r="B2" t="s">
        <v>43</v>
      </c>
    </row>
    <row r="3" spans="1:2" x14ac:dyDescent="0.3">
      <c r="A3" t="s">
        <v>112</v>
      </c>
      <c r="B3">
        <v>9.9452678216368204E-2</v>
      </c>
    </row>
    <row r="4" spans="1:2" x14ac:dyDescent="0.3">
      <c r="A4" t="s">
        <v>113</v>
      </c>
      <c r="B4">
        <v>0.04</v>
      </c>
    </row>
    <row r="5" spans="1:2" x14ac:dyDescent="0.3">
      <c r="A5" t="s">
        <v>114</v>
      </c>
      <c r="B5">
        <v>2610.7814496810761</v>
      </c>
    </row>
    <row r="6" spans="1:2" x14ac:dyDescent="0.3">
      <c r="A6" t="s">
        <v>115</v>
      </c>
      <c r="B6">
        <v>180.86509060094409</v>
      </c>
    </row>
    <row r="7" spans="1:2" x14ac:dyDescent="0.3">
      <c r="A7" t="s">
        <v>116</v>
      </c>
      <c r="B7">
        <v>0.65</v>
      </c>
    </row>
    <row r="8" spans="1:2" x14ac:dyDescent="0.3">
      <c r="A8" t="s">
        <v>117</v>
      </c>
      <c r="B8">
        <v>0.8</v>
      </c>
    </row>
    <row r="9" spans="1:2" x14ac:dyDescent="0.3">
      <c r="A9" t="s">
        <v>118</v>
      </c>
      <c r="B9">
        <v>15</v>
      </c>
    </row>
    <row r="10" spans="1:2" x14ac:dyDescent="0.3">
      <c r="A10" t="s">
        <v>119</v>
      </c>
      <c r="B10" t="s">
        <v>120</v>
      </c>
    </row>
    <row r="11" spans="1:2" x14ac:dyDescent="0.3">
      <c r="A11" t="s">
        <v>121</v>
      </c>
      <c r="B11">
        <v>1281247996175.2629</v>
      </c>
    </row>
    <row r="12" spans="1:2" x14ac:dyDescent="0.3">
      <c r="A12" t="s">
        <v>122</v>
      </c>
      <c r="B12">
        <v>1098578967201.243</v>
      </c>
    </row>
    <row r="13" spans="1:2" x14ac:dyDescent="0.3">
      <c r="A13" t="s">
        <v>123</v>
      </c>
      <c r="B13">
        <v>2379826963376.5059</v>
      </c>
    </row>
    <row r="14" spans="1:2" x14ac:dyDescent="0.3">
      <c r="A14" t="s">
        <v>124</v>
      </c>
      <c r="B14">
        <v>314753501559.22571</v>
      </c>
    </row>
    <row r="15" spans="1:2" x14ac:dyDescent="0.3">
      <c r="A15" t="s">
        <v>125</v>
      </c>
      <c r="B15">
        <v>5505952825712.6035</v>
      </c>
    </row>
    <row r="16" spans="1:2" x14ac:dyDescent="0.3">
      <c r="A16" t="s">
        <v>126</v>
      </c>
      <c r="B16">
        <v>17</v>
      </c>
    </row>
    <row r="17" spans="1:2" x14ac:dyDescent="0.3">
      <c r="A17" t="s">
        <v>127</v>
      </c>
      <c r="B17">
        <v>41538136756.984238</v>
      </c>
    </row>
    <row r="18" spans="1:2" x14ac:dyDescent="0.3">
      <c r="A18" t="s">
        <v>128</v>
      </c>
      <c r="B18">
        <v>52776265533.882202</v>
      </c>
    </row>
    <row r="19" spans="1:2" x14ac:dyDescent="0.3">
      <c r="A19" t="s">
        <v>129</v>
      </c>
      <c r="B19">
        <v>80958791328.975296</v>
      </c>
    </row>
    <row r="20" spans="1:2" x14ac:dyDescent="0.3">
      <c r="A20" t="s">
        <v>130</v>
      </c>
      <c r="B20">
        <v>110193010877.8683</v>
      </c>
    </row>
    <row r="21" spans="1:2" x14ac:dyDescent="0.3">
      <c r="A21" t="s">
        <v>131</v>
      </c>
      <c r="B21">
        <v>137599665578.3573</v>
      </c>
    </row>
    <row r="22" spans="1:2" x14ac:dyDescent="0.3">
      <c r="A22" t="s">
        <v>132</v>
      </c>
      <c r="B22">
        <v>161771076432.263</v>
      </c>
    </row>
    <row r="23" spans="1:2" x14ac:dyDescent="0.3">
      <c r="A23" t="s">
        <v>133</v>
      </c>
      <c r="B23">
        <v>182507230706.4725</v>
      </c>
    </row>
    <row r="24" spans="1:2" x14ac:dyDescent="0.3">
      <c r="A24" t="s">
        <v>134</v>
      </c>
      <c r="B24">
        <v>200268534516.633</v>
      </c>
    </row>
    <row r="25" spans="1:2" x14ac:dyDescent="0.3">
      <c r="A25" t="s">
        <v>135</v>
      </c>
      <c r="B25">
        <v>215740667063.26569</v>
      </c>
    </row>
    <row r="26" spans="1:2" x14ac:dyDescent="0.3">
      <c r="A26" t="s">
        <v>136</v>
      </c>
      <c r="B26">
        <v>229594886726.98111</v>
      </c>
    </row>
    <row r="27" spans="1:2" x14ac:dyDescent="0.3">
      <c r="A27" t="s">
        <v>137</v>
      </c>
      <c r="B27">
        <v>242392747650.31549</v>
      </c>
    </row>
    <row r="28" spans="1:2" x14ac:dyDescent="0.3">
      <c r="A28" t="s">
        <v>138</v>
      </c>
      <c r="B28">
        <v>254568543782.49191</v>
      </c>
    </row>
    <row r="29" spans="1:2" x14ac:dyDescent="0.3">
      <c r="A29" t="s">
        <v>139</v>
      </c>
      <c r="B29">
        <v>266444317872.2601</v>
      </c>
    </row>
    <row r="30" spans="1:2" x14ac:dyDescent="0.3">
      <c r="A30" t="s">
        <v>140</v>
      </c>
      <c r="B30">
        <v>278253899235.25201</v>
      </c>
    </row>
    <row r="31" spans="1:2" x14ac:dyDescent="0.3">
      <c r="A31" t="s">
        <v>141</v>
      </c>
      <c r="B31">
        <v>290165914290.80518</v>
      </c>
    </row>
    <row r="32" spans="1:2" x14ac:dyDescent="0.3">
      <c r="A32" t="s">
        <v>142</v>
      </c>
      <c r="B32">
        <v>302302515607.51569</v>
      </c>
    </row>
    <row r="33" spans="1:2" x14ac:dyDescent="0.3">
      <c r="A33" t="s">
        <v>143</v>
      </c>
      <c r="B33">
        <v>314753501559.22571</v>
      </c>
    </row>
    <row r="34" spans="1:2" x14ac:dyDescent="0.3">
      <c r="A34" t="s">
        <v>144</v>
      </c>
      <c r="B34">
        <v>0.53400000000000003</v>
      </c>
    </row>
    <row r="35" spans="1:2" x14ac:dyDescent="0.3">
      <c r="A35" t="s">
        <v>145</v>
      </c>
      <c r="B35">
        <v>0.36109999999999998</v>
      </c>
    </row>
    <row r="36" spans="1:2" x14ac:dyDescent="0.3">
      <c r="A36" t="s">
        <v>146</v>
      </c>
      <c r="B36">
        <v>0.24871499999999999</v>
      </c>
    </row>
    <row r="37" spans="1:2" x14ac:dyDescent="0.3">
      <c r="A37" t="s">
        <v>147</v>
      </c>
      <c r="B37">
        <v>0.17566475000000001</v>
      </c>
    </row>
    <row r="38" spans="1:2" x14ac:dyDescent="0.3">
      <c r="A38" t="s">
        <v>148</v>
      </c>
      <c r="B38">
        <v>0.12818208750000001</v>
      </c>
    </row>
    <row r="39" spans="1:2" x14ac:dyDescent="0.3">
      <c r="A39" t="s">
        <v>149</v>
      </c>
      <c r="B39">
        <v>9.7318356875000012E-2</v>
      </c>
    </row>
    <row r="40" spans="1:2" x14ac:dyDescent="0.3">
      <c r="A40" t="s">
        <v>150</v>
      </c>
      <c r="B40">
        <v>7.7256931968750012E-2</v>
      </c>
    </row>
    <row r="41" spans="1:2" x14ac:dyDescent="0.3">
      <c r="A41" t="s">
        <v>151</v>
      </c>
      <c r="B41">
        <v>6.4217005779687503E-2</v>
      </c>
    </row>
    <row r="42" spans="1:2" x14ac:dyDescent="0.3">
      <c r="A42" t="s">
        <v>152</v>
      </c>
      <c r="B42">
        <v>5.5741053756796867E-2</v>
      </c>
    </row>
    <row r="43" spans="1:2" x14ac:dyDescent="0.3">
      <c r="A43" t="s">
        <v>153</v>
      </c>
      <c r="B43">
        <v>5.0231684941917973E-2</v>
      </c>
    </row>
    <row r="44" spans="1:2" x14ac:dyDescent="0.3">
      <c r="A44" t="s">
        <v>154</v>
      </c>
      <c r="B44">
        <v>4.6650595212246682E-2</v>
      </c>
    </row>
    <row r="45" spans="1:2" x14ac:dyDescent="0.3">
      <c r="A45" t="s">
        <v>155</v>
      </c>
      <c r="B45">
        <v>4.4322886887960343E-2</v>
      </c>
    </row>
    <row r="46" spans="1:2" x14ac:dyDescent="0.3">
      <c r="A46" t="s">
        <v>156</v>
      </c>
      <c r="B46">
        <v>4.280987647717422E-2</v>
      </c>
    </row>
    <row r="47" spans="1:2" x14ac:dyDescent="0.3">
      <c r="A47" t="s">
        <v>157</v>
      </c>
      <c r="B47">
        <v>4.1826419710163237E-2</v>
      </c>
    </row>
    <row r="48" spans="1:2" x14ac:dyDescent="0.3">
      <c r="A48" t="s">
        <v>158</v>
      </c>
      <c r="B48">
        <v>4.118717281160611E-2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workbookViewId="0">
      <selection activeCell="O43" sqref="O43"/>
    </sheetView>
  </sheetViews>
  <sheetFormatPr defaultRowHeight="16.5" x14ac:dyDescent="0.3"/>
  <sheetData>
    <row r="1" spans="1:3" x14ac:dyDescent="0.3">
      <c r="A1" s="1" t="s">
        <v>159</v>
      </c>
      <c r="B1" s="1" t="s">
        <v>110</v>
      </c>
      <c r="C1" s="1" t="s">
        <v>21</v>
      </c>
    </row>
    <row r="2" spans="1:3" x14ac:dyDescent="0.3">
      <c r="A2" t="s">
        <v>160</v>
      </c>
      <c r="B2" t="s">
        <v>161</v>
      </c>
      <c r="C2">
        <v>85224309584.551941</v>
      </c>
    </row>
    <row r="3" spans="1:3" x14ac:dyDescent="0.3">
      <c r="A3" t="s">
        <v>160</v>
      </c>
      <c r="B3" t="s">
        <v>162</v>
      </c>
      <c r="C3">
        <v>108764219669.60629</v>
      </c>
    </row>
    <row r="4" spans="1:3" x14ac:dyDescent="0.3">
      <c r="A4" t="s">
        <v>160</v>
      </c>
      <c r="B4" t="s">
        <v>163</v>
      </c>
      <c r="C4">
        <v>0.37727573794246089</v>
      </c>
    </row>
    <row r="5" spans="1:3" x14ac:dyDescent="0.3">
      <c r="A5" t="s">
        <v>160</v>
      </c>
      <c r="B5" t="s">
        <v>164</v>
      </c>
      <c r="C5">
        <v>0.37727573794246089</v>
      </c>
    </row>
    <row r="6" spans="1:3" x14ac:dyDescent="0.3">
      <c r="A6" t="s">
        <v>160</v>
      </c>
      <c r="B6" t="s">
        <v>165</v>
      </c>
      <c r="C6">
        <v>0.5278825816138919</v>
      </c>
    </row>
    <row r="7" spans="1:3" x14ac:dyDescent="0.3">
      <c r="A7" t="s">
        <v>160</v>
      </c>
      <c r="B7" t="s">
        <v>166</v>
      </c>
      <c r="C7">
        <v>0.5278825816138919</v>
      </c>
    </row>
    <row r="8" spans="1:3" x14ac:dyDescent="0.3">
      <c r="A8" t="s">
        <v>160</v>
      </c>
      <c r="B8" t="s">
        <v>167</v>
      </c>
      <c r="C8">
        <v>4.9908290535583273</v>
      </c>
    </row>
    <row r="9" spans="1:3" x14ac:dyDescent="0.3">
      <c r="A9" t="s">
        <v>160</v>
      </c>
      <c r="B9" t="s">
        <v>168</v>
      </c>
      <c r="C9">
        <v>4.9908290535583273</v>
      </c>
    </row>
    <row r="10" spans="1:3" x14ac:dyDescent="0.3">
      <c r="A10" t="s">
        <v>160</v>
      </c>
      <c r="B10" t="s">
        <v>62</v>
      </c>
      <c r="C10">
        <v>0.99395999178188554</v>
      </c>
    </row>
    <row r="11" spans="1:3" x14ac:dyDescent="0.3">
      <c r="A11" t="s">
        <v>160</v>
      </c>
      <c r="B11" t="s">
        <v>63</v>
      </c>
      <c r="C11">
        <v>0.99395999178188554</v>
      </c>
    </row>
    <row r="12" spans="1:3" x14ac:dyDescent="0.3">
      <c r="A12" t="s">
        <v>169</v>
      </c>
      <c r="B12" t="s">
        <v>170</v>
      </c>
      <c r="C12">
        <v>0.85</v>
      </c>
    </row>
    <row r="13" spans="1:3" x14ac:dyDescent="0.3">
      <c r="A13" t="s">
        <v>169</v>
      </c>
      <c r="B13" t="s">
        <v>171</v>
      </c>
      <c r="C13">
        <v>0.89949999999999997</v>
      </c>
    </row>
    <row r="14" spans="1:3" x14ac:dyDescent="0.3">
      <c r="A14" t="s">
        <v>169</v>
      </c>
      <c r="B14" t="s">
        <v>172</v>
      </c>
      <c r="C14">
        <v>0.85</v>
      </c>
    </row>
    <row r="15" spans="1:3" x14ac:dyDescent="0.3">
      <c r="A15" t="s">
        <v>169</v>
      </c>
      <c r="B15" t="s">
        <v>173</v>
      </c>
      <c r="C15">
        <v>0.87969999999999993</v>
      </c>
    </row>
    <row r="16" spans="1:3" x14ac:dyDescent="0.3">
      <c r="A16" t="s">
        <v>169</v>
      </c>
      <c r="B16" t="s">
        <v>58</v>
      </c>
      <c r="C16">
        <v>8.2383499999999998E-2</v>
      </c>
    </row>
    <row r="17" spans="1:3" x14ac:dyDescent="0.3">
      <c r="A17" t="s">
        <v>169</v>
      </c>
      <c r="B17" t="s">
        <v>59</v>
      </c>
      <c r="C17">
        <v>9.3383499999999994E-2</v>
      </c>
    </row>
    <row r="18" spans="1:3" x14ac:dyDescent="0.3">
      <c r="A18" t="s">
        <v>169</v>
      </c>
      <c r="B18" t="s">
        <v>60</v>
      </c>
      <c r="C18">
        <v>0.1043835</v>
      </c>
    </row>
    <row r="19" spans="1:3" x14ac:dyDescent="0.3">
      <c r="A19" t="s">
        <v>169</v>
      </c>
      <c r="B19" t="s">
        <v>61</v>
      </c>
      <c r="C19">
        <v>0.08</v>
      </c>
    </row>
    <row r="20" spans="1:3" x14ac:dyDescent="0.3">
      <c r="A20" t="s">
        <v>169</v>
      </c>
      <c r="B20" t="s">
        <v>55</v>
      </c>
      <c r="C20">
        <v>39.575401083998159</v>
      </c>
    </row>
    <row r="21" spans="1:3" x14ac:dyDescent="0.3">
      <c r="A21" t="s">
        <v>169</v>
      </c>
      <c r="B21" t="s">
        <v>56</v>
      </c>
      <c r="C21">
        <v>39.815889383083523</v>
      </c>
    </row>
    <row r="22" spans="1:3" x14ac:dyDescent="0.3">
      <c r="A22" t="s">
        <v>169</v>
      </c>
      <c r="B22" t="s">
        <v>57</v>
      </c>
      <c r="C22">
        <v>8.4740662646672895</v>
      </c>
    </row>
    <row r="23" spans="1:3" x14ac:dyDescent="0.3">
      <c r="A23" t="s">
        <v>169</v>
      </c>
      <c r="B23" t="s">
        <v>52</v>
      </c>
      <c r="C23">
        <v>12.996639355429529</v>
      </c>
    </row>
    <row r="24" spans="1:3" x14ac:dyDescent="0.3">
      <c r="A24" t="s">
        <v>169</v>
      </c>
      <c r="B24" t="s">
        <v>53</v>
      </c>
      <c r="C24">
        <v>20.55963000274593</v>
      </c>
    </row>
    <row r="25" spans="1:3" x14ac:dyDescent="0.3">
      <c r="A25" t="s">
        <v>169</v>
      </c>
      <c r="B25" t="s">
        <v>54</v>
      </c>
      <c r="C25">
        <v>7.7566495811099312</v>
      </c>
    </row>
    <row r="26" spans="1:3" x14ac:dyDescent="0.3">
      <c r="A26" t="s">
        <v>169</v>
      </c>
      <c r="B26" t="s">
        <v>44</v>
      </c>
      <c r="C26">
        <v>2860.731996910517</v>
      </c>
    </row>
    <row r="27" spans="1:3" x14ac:dyDescent="0.3">
      <c r="A27" t="s">
        <v>169</v>
      </c>
      <c r="B27" t="s">
        <v>45</v>
      </c>
      <c r="C27">
        <v>1819.3826247714369</v>
      </c>
    </row>
    <row r="28" spans="1:3" x14ac:dyDescent="0.3">
      <c r="A28" t="s">
        <v>169</v>
      </c>
      <c r="B28" t="s">
        <v>46</v>
      </c>
      <c r="C28">
        <v>1026.362084611251</v>
      </c>
    </row>
    <row r="29" spans="1:3" x14ac:dyDescent="0.3">
      <c r="A29" t="s">
        <v>169</v>
      </c>
      <c r="B29" t="s">
        <v>47</v>
      </c>
      <c r="C29">
        <v>1902.1589020977351</v>
      </c>
    </row>
    <row r="30" spans="1:3" x14ac:dyDescent="0.3">
      <c r="A30" t="s">
        <v>169</v>
      </c>
      <c r="B30" t="s">
        <v>48</v>
      </c>
      <c r="C30">
        <v>204.50488008244201</v>
      </c>
    </row>
    <row r="31" spans="1:3" x14ac:dyDescent="0.3">
      <c r="A31" t="s">
        <v>169</v>
      </c>
      <c r="B31" t="s">
        <v>49</v>
      </c>
      <c r="C31">
        <v>93.660534638832189</v>
      </c>
    </row>
    <row r="32" spans="1:3" x14ac:dyDescent="0.3">
      <c r="A32" t="s">
        <v>169</v>
      </c>
      <c r="B32" t="s">
        <v>50</v>
      </c>
      <c r="C32">
        <v>9.2490536803997436</v>
      </c>
    </row>
    <row r="33" spans="1:3" x14ac:dyDescent="0.3">
      <c r="A33" t="s">
        <v>169</v>
      </c>
      <c r="B33" t="s">
        <v>51</v>
      </c>
      <c r="C33">
        <v>102.4714894672246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6.5" x14ac:dyDescent="0.3"/>
  <sheetData>
    <row r="1" spans="1:3" x14ac:dyDescent="0.3">
      <c r="A1" s="1" t="s">
        <v>174</v>
      </c>
      <c r="B1" s="1" t="s">
        <v>175</v>
      </c>
      <c r="C1" s="1" t="s">
        <v>176</v>
      </c>
    </row>
    <row r="2" spans="1:3" x14ac:dyDescent="0.3">
      <c r="A2" t="s">
        <v>177</v>
      </c>
      <c r="B2">
        <v>929.55</v>
      </c>
    </row>
    <row r="3" spans="1:3" x14ac:dyDescent="0.3">
      <c r="A3" t="s">
        <v>178</v>
      </c>
      <c r="B3">
        <v>2610.7814496810761</v>
      </c>
      <c r="C3">
        <v>180.86509060094409</v>
      </c>
    </row>
    <row r="4" spans="1:3" x14ac:dyDescent="0.3">
      <c r="A4" t="s">
        <v>179</v>
      </c>
      <c r="B4">
        <v>2860.731996910517</v>
      </c>
      <c r="C4">
        <v>207.75450453558361</v>
      </c>
    </row>
    <row r="5" spans="1:3" x14ac:dyDescent="0.3">
      <c r="A5" t="s">
        <v>180</v>
      </c>
      <c r="B5">
        <v>1819.3826247714369</v>
      </c>
      <c r="C5">
        <v>95.727247030438065</v>
      </c>
    </row>
    <row r="6" spans="1:3" x14ac:dyDescent="0.3">
      <c r="A6" t="s">
        <v>181</v>
      </c>
      <c r="B6">
        <v>1026.362084611251</v>
      </c>
      <c r="C6">
        <v>10.414941058711371</v>
      </c>
    </row>
    <row r="7" spans="1:3" x14ac:dyDescent="0.3">
      <c r="A7" t="s">
        <v>182</v>
      </c>
      <c r="B7">
        <v>1902.1589020977351</v>
      </c>
      <c r="C7">
        <v>104.632230874911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selection activeCell="E18" sqref="E18"/>
    </sheetView>
  </sheetViews>
  <sheetFormatPr defaultRowHeight="16.5" x14ac:dyDescent="0.3"/>
  <cols>
    <col min="2" max="2" width="13.125" bestFit="1" customWidth="1"/>
    <col min="4" max="9" width="12.75" bestFit="1" customWidth="1"/>
    <col min="10" max="11" width="13.625" bestFit="1" customWidth="1"/>
    <col min="12" max="12" width="12.75" bestFit="1" customWidth="1"/>
  </cols>
  <sheetData>
    <row r="1" spans="1:13" x14ac:dyDescent="0.3">
      <c r="A1" s="1" t="s">
        <v>183</v>
      </c>
      <c r="B1" s="1" t="s">
        <v>64</v>
      </c>
      <c r="C1" s="1" t="s">
        <v>84</v>
      </c>
      <c r="D1" s="1" t="s">
        <v>66</v>
      </c>
      <c r="E1" s="1" t="s">
        <v>69</v>
      </c>
      <c r="F1" s="1" t="s">
        <v>67</v>
      </c>
      <c r="G1" s="1" t="s">
        <v>68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107</v>
      </c>
    </row>
    <row r="2" spans="1:13" x14ac:dyDescent="0.3">
      <c r="A2" t="s">
        <v>108</v>
      </c>
      <c r="B2">
        <v>1.6565472E+18</v>
      </c>
      <c r="C2" t="s">
        <v>72</v>
      </c>
      <c r="D2">
        <v>6488000000</v>
      </c>
      <c r="E2">
        <v>0.26892725030826142</v>
      </c>
      <c r="F2">
        <v>1744800000</v>
      </c>
      <c r="G2">
        <v>1378392000</v>
      </c>
      <c r="H2">
        <v>83859982.187181354</v>
      </c>
      <c r="I2">
        <v>513375326.97066098</v>
      </c>
      <c r="J2">
        <v>-15284851116.855221</v>
      </c>
      <c r="K2">
        <v>3114453325.5984268</v>
      </c>
      <c r="L2">
        <v>-2165576670.381907</v>
      </c>
    </row>
    <row r="3" spans="1:13" x14ac:dyDescent="0.3">
      <c r="A3" t="s">
        <v>108</v>
      </c>
      <c r="B3">
        <v>1.664496E+18</v>
      </c>
      <c r="C3" t="s">
        <v>73</v>
      </c>
      <c r="D3">
        <v>6941600000</v>
      </c>
      <c r="E3">
        <v>0.293563443586493</v>
      </c>
      <c r="F3">
        <v>2037800000</v>
      </c>
      <c r="G3">
        <v>1609862000</v>
      </c>
      <c r="H3">
        <v>89722942.717407227</v>
      </c>
      <c r="I3">
        <v>549267288.79462707</v>
      </c>
      <c r="J3">
        <v>-16353471410.72167</v>
      </c>
      <c r="K3">
        <v>-1068620293.866449</v>
      </c>
      <c r="L3">
        <v>2218937947.7892289</v>
      </c>
    </row>
    <row r="4" spans="1:13" x14ac:dyDescent="0.3">
      <c r="A4" t="s">
        <v>108</v>
      </c>
      <c r="B4">
        <v>1.6802208E+18</v>
      </c>
      <c r="C4" t="s">
        <v>74</v>
      </c>
      <c r="D4">
        <v>6960000000</v>
      </c>
      <c r="E4">
        <v>0.2463793103448276</v>
      </c>
      <c r="F4">
        <v>1714800000</v>
      </c>
      <c r="G4">
        <v>1354692000</v>
      </c>
      <c r="H4">
        <v>89960770.040502816</v>
      </c>
      <c r="I4">
        <v>550723223.7539767</v>
      </c>
      <c r="J4">
        <v>-16396819323.87674</v>
      </c>
      <c r="K4">
        <v>805234604.15245247</v>
      </c>
      <c r="L4">
        <v>88694942.134073615</v>
      </c>
    </row>
    <row r="5" spans="1:13" x14ac:dyDescent="0.3">
      <c r="A5" t="s">
        <v>108</v>
      </c>
      <c r="B5">
        <v>1.6880832E+18</v>
      </c>
      <c r="C5" t="s">
        <v>75</v>
      </c>
      <c r="D5">
        <v>8312100000</v>
      </c>
      <c r="E5">
        <v>0.28132481563022582</v>
      </c>
      <c r="F5">
        <v>2338400000</v>
      </c>
      <c r="G5">
        <v>1847336000</v>
      </c>
      <c r="H5">
        <v>107437200.6686298</v>
      </c>
      <c r="I5">
        <v>657710705.19618237</v>
      </c>
      <c r="J5">
        <v>-19582184181.321251</v>
      </c>
      <c r="K5">
        <v>-3185364857.4445062</v>
      </c>
      <c r="L5">
        <v>4482427352.9169531</v>
      </c>
    </row>
    <row r="6" spans="1:13" x14ac:dyDescent="0.3">
      <c r="A6" t="s">
        <v>108</v>
      </c>
      <c r="B6">
        <v>1.696032E+18</v>
      </c>
      <c r="C6" t="s">
        <v>76</v>
      </c>
      <c r="D6">
        <v>9498600000</v>
      </c>
      <c r="E6">
        <v>0.37279177984123968</v>
      </c>
      <c r="F6">
        <v>3541000000</v>
      </c>
      <c r="G6">
        <v>2797390000</v>
      </c>
      <c r="H6">
        <v>122773185.3888966</v>
      </c>
      <c r="I6">
        <v>751594772.0042417</v>
      </c>
      <c r="J6">
        <v>-22377417820.37006</v>
      </c>
      <c r="K6">
        <v>-2795233639.0488129</v>
      </c>
      <c r="L6">
        <v>4963802052.4334669</v>
      </c>
    </row>
    <row r="7" spans="1:13" x14ac:dyDescent="0.3">
      <c r="A7" t="s">
        <v>108</v>
      </c>
      <c r="B7">
        <v>1.7118432E+18</v>
      </c>
      <c r="C7" t="s">
        <v>77</v>
      </c>
      <c r="D7">
        <v>8768000000</v>
      </c>
      <c r="E7">
        <v>0.31199817518248169</v>
      </c>
      <c r="F7">
        <v>2735600000</v>
      </c>
      <c r="G7">
        <v>2161124000</v>
      </c>
      <c r="H7">
        <v>113329889.6142426</v>
      </c>
      <c r="I7">
        <v>693784658.8900671</v>
      </c>
      <c r="J7">
        <v>-20656222964.332081</v>
      </c>
      <c r="K7">
        <v>1379123280.4881361</v>
      </c>
      <c r="L7">
        <v>201545950.23603919</v>
      </c>
    </row>
    <row r="8" spans="1:13" x14ac:dyDescent="0.3">
      <c r="A8" t="s">
        <v>108</v>
      </c>
      <c r="B8">
        <v>1.7197056E+18</v>
      </c>
      <c r="C8" t="s">
        <v>78</v>
      </c>
      <c r="D8">
        <v>11302800000</v>
      </c>
      <c r="E8">
        <v>0.39092083377570158</v>
      </c>
      <c r="F8">
        <v>4418500000</v>
      </c>
      <c r="G8">
        <v>3490615000</v>
      </c>
      <c r="H8">
        <v>146093188.4502579</v>
      </c>
      <c r="I8">
        <v>894355524.92046654</v>
      </c>
      <c r="J8">
        <v>-26627869174.412941</v>
      </c>
      <c r="K8">
        <v>-5971646210.0808563</v>
      </c>
      <c r="L8">
        <v>8713998873.6106472</v>
      </c>
    </row>
    <row r="9" spans="1:13" x14ac:dyDescent="0.3">
      <c r="A9" t="s">
        <v>108</v>
      </c>
      <c r="B9">
        <v>1.7276544E+18</v>
      </c>
      <c r="C9" t="s">
        <v>79</v>
      </c>
      <c r="D9">
        <v>11439100000</v>
      </c>
      <c r="E9">
        <v>0.39774108102910188</v>
      </c>
      <c r="F9">
        <v>4549800000</v>
      </c>
      <c r="G9">
        <v>3594342000</v>
      </c>
      <c r="H9">
        <v>147854920.19688451</v>
      </c>
      <c r="I9">
        <v>905140521.38564861</v>
      </c>
      <c r="J9">
        <v>-26948973552.83886</v>
      </c>
      <c r="K9">
        <v>-321104378.42591858</v>
      </c>
      <c r="L9">
        <v>3158160777.237154</v>
      </c>
    </row>
    <row r="10" spans="1:13" x14ac:dyDescent="0.3">
      <c r="A10" t="s">
        <v>108</v>
      </c>
      <c r="B10">
        <v>1.7433792E+18</v>
      </c>
      <c r="C10" s="2" t="s">
        <v>80</v>
      </c>
      <c r="D10" s="2">
        <v>12728500000</v>
      </c>
      <c r="E10" s="2">
        <v>0.42490474132851469</v>
      </c>
      <c r="F10" s="2">
        <v>5408400000</v>
      </c>
      <c r="G10" s="2">
        <v>4272636000</v>
      </c>
      <c r="H10" s="2">
        <v>164520928.3707673</v>
      </c>
      <c r="I10" s="2">
        <v>1007166746.200071</v>
      </c>
      <c r="J10" s="2">
        <v>-29986625684.477749</v>
      </c>
      <c r="K10">
        <v>1894822095.1428261</v>
      </c>
      <c r="L10">
        <v>1535168087.0278709</v>
      </c>
    </row>
    <row r="11" spans="1:13" x14ac:dyDescent="0.3">
      <c r="A11" t="s">
        <v>108</v>
      </c>
      <c r="B11">
        <v>1.7512416E+18</v>
      </c>
      <c r="C11" s="2" t="s">
        <v>81</v>
      </c>
      <c r="D11" s="2">
        <v>15557700000</v>
      </c>
      <c r="E11" s="2">
        <v>0.4580497117183131</v>
      </c>
      <c r="F11" s="2">
        <v>7126200000</v>
      </c>
      <c r="G11" s="2">
        <v>5629698000</v>
      </c>
      <c r="H11" s="2">
        <v>201089464.3763119</v>
      </c>
      <c r="I11" s="2">
        <v>1231032571.5800641</v>
      </c>
      <c r="J11" s="2">
        <v>-36651838505.039833</v>
      </c>
      <c r="K11">
        <v>-6665212820.5620804</v>
      </c>
      <c r="L11">
        <v>11264967713.35833</v>
      </c>
    </row>
    <row r="12" spans="1:13" x14ac:dyDescent="0.3">
      <c r="A12" t="s">
        <v>108</v>
      </c>
      <c r="B12">
        <v>1.7591904E+18</v>
      </c>
      <c r="C12" s="2" t="s">
        <v>82</v>
      </c>
      <c r="D12" s="2">
        <v>17600800000</v>
      </c>
      <c r="E12" s="2">
        <v>0.47646129721376301</v>
      </c>
      <c r="F12" s="2">
        <v>8386100000</v>
      </c>
      <c r="G12" s="2">
        <v>6625019000</v>
      </c>
      <c r="H12" s="2">
        <v>227497345.01851749</v>
      </c>
      <c r="I12" s="2">
        <v>1392696740.8978441</v>
      </c>
      <c r="J12" s="2">
        <v>-41465105970.645081</v>
      </c>
      <c r="K12">
        <v>-4813267465.6052551</v>
      </c>
      <c r="L12">
        <v>10273087069.725929</v>
      </c>
    </row>
    <row r="13" spans="1:13" x14ac:dyDescent="0.3">
      <c r="A13" t="s">
        <v>108</v>
      </c>
      <c r="B13">
        <v>1.7671392E+18</v>
      </c>
      <c r="C13" s="2" t="s">
        <v>83</v>
      </c>
      <c r="D13" s="2">
        <v>19292000000</v>
      </c>
      <c r="E13" s="2">
        <v>0.45486730250881202</v>
      </c>
      <c r="F13" s="2">
        <v>8775300000</v>
      </c>
      <c r="G13" s="2">
        <v>6932487000</v>
      </c>
      <c r="H13" s="2">
        <v>249356778.10652009</v>
      </c>
      <c r="I13" s="2">
        <v>1526516154.118063</v>
      </c>
      <c r="J13" s="2">
        <v>-45449344597.1595</v>
      </c>
      <c r="K13">
        <v>-3984238626.51442</v>
      </c>
      <c r="L13">
        <v>9639566250.5028763</v>
      </c>
    </row>
    <row r="14" spans="1:13" x14ac:dyDescent="0.3">
      <c r="A14" t="s">
        <v>109</v>
      </c>
      <c r="B14">
        <v>1.7749152E+18</v>
      </c>
      <c r="C14" t="s">
        <v>91</v>
      </c>
      <c r="D14">
        <v>18286909587.12138</v>
      </c>
      <c r="E14">
        <v>0.46799771582535571</v>
      </c>
      <c r="F14">
        <v>8558231916.2776031</v>
      </c>
      <c r="G14">
        <v>6761003213.8593063</v>
      </c>
      <c r="H14">
        <v>236365584.4997834</v>
      </c>
      <c r="I14">
        <v>1446986465.5627861</v>
      </c>
      <c r="J14">
        <v>-43081487427.025673</v>
      </c>
      <c r="K14">
        <v>0</v>
      </c>
      <c r="L14">
        <v>5550382332.7963047</v>
      </c>
      <c r="M14" t="s">
        <v>90</v>
      </c>
    </row>
    <row r="15" spans="1:13" x14ac:dyDescent="0.3">
      <c r="A15" t="s">
        <v>109</v>
      </c>
      <c r="B15">
        <v>1.7827776E+18</v>
      </c>
      <c r="C15" t="s">
        <v>93</v>
      </c>
      <c r="D15">
        <v>20505119541.566429</v>
      </c>
      <c r="E15">
        <v>0.47179150880756848</v>
      </c>
      <c r="F15">
        <v>9674141286.7951851</v>
      </c>
      <c r="G15">
        <v>7642571616.5681963</v>
      </c>
      <c r="H15">
        <v>265036830.99595949</v>
      </c>
      <c r="I15">
        <v>1622506542.728754</v>
      </c>
      <c r="J15">
        <v>-48307290278.384933</v>
      </c>
      <c r="K15">
        <v>-5225802851.3592529</v>
      </c>
      <c r="L15">
        <v>11510904756.194651</v>
      </c>
      <c r="M15" t="s">
        <v>92</v>
      </c>
    </row>
    <row r="16" spans="1:13" x14ac:dyDescent="0.3">
      <c r="A16" t="s">
        <v>109</v>
      </c>
      <c r="B16">
        <v>1.7907264E+18</v>
      </c>
      <c r="C16" t="s">
        <v>95</v>
      </c>
      <c r="D16">
        <v>21806434720.233349</v>
      </c>
      <c r="E16">
        <v>0.4793358289928355</v>
      </c>
      <c r="F16">
        <v>10452605464.0012</v>
      </c>
      <c r="G16">
        <v>8257558316.5609493</v>
      </c>
      <c r="H16">
        <v>281856847.59628558</v>
      </c>
      <c r="I16">
        <v>1725475578.693614</v>
      </c>
      <c r="J16">
        <v>-51373012960.571671</v>
      </c>
      <c r="K16">
        <v>-3065722682.1867452</v>
      </c>
      <c r="L16">
        <v>9879662267.6503658</v>
      </c>
      <c r="M16" t="s">
        <v>94</v>
      </c>
    </row>
    <row r="17" spans="1:13" x14ac:dyDescent="0.3">
      <c r="A17" t="s">
        <v>109</v>
      </c>
      <c r="B17">
        <v>1.7986752E+18</v>
      </c>
      <c r="C17" t="s">
        <v>97</v>
      </c>
      <c r="D17">
        <v>24625845735.630791</v>
      </c>
      <c r="E17">
        <v>0.4927057707328375</v>
      </c>
      <c r="F17">
        <v>12133296303.121929</v>
      </c>
      <c r="G17">
        <v>9585304079.4663239</v>
      </c>
      <c r="H17">
        <v>318298857.07988191</v>
      </c>
      <c r="I17">
        <v>1948566832.0682051</v>
      </c>
      <c r="J17">
        <v>-58015164256.436577</v>
      </c>
      <c r="K17">
        <v>-6642151295.8649063</v>
      </c>
      <c r="L17">
        <v>14597187400.342911</v>
      </c>
      <c r="M17" t="s">
        <v>96</v>
      </c>
    </row>
    <row r="18" spans="1:13" x14ac:dyDescent="0.3">
      <c r="A18" t="s">
        <v>109</v>
      </c>
      <c r="B18">
        <v>1.8064512E+18</v>
      </c>
      <c r="C18" t="s">
        <v>99</v>
      </c>
      <c r="D18">
        <v>23538663851.67028</v>
      </c>
      <c r="E18">
        <v>0.50325011851279389</v>
      </c>
      <c r="F18">
        <v>11845835372.985889</v>
      </c>
      <c r="G18">
        <v>9358209944.6588516</v>
      </c>
      <c r="H18">
        <v>304246598.53747219</v>
      </c>
      <c r="I18">
        <v>1862541499.8926799</v>
      </c>
      <c r="J18">
        <v>-55453910675.475037</v>
      </c>
      <c r="K18">
        <v>2561253580.9615402</v>
      </c>
      <c r="L18">
        <v>5238661462.342103</v>
      </c>
      <c r="M18" t="s">
        <v>98</v>
      </c>
    </row>
    <row r="19" spans="1:13" x14ac:dyDescent="0.3">
      <c r="A19" t="s">
        <v>109</v>
      </c>
      <c r="B19">
        <v>1.8143136E+18</v>
      </c>
      <c r="C19" t="s">
        <v>101</v>
      </c>
      <c r="D19">
        <v>26164052507.82795</v>
      </c>
      <c r="E19">
        <v>0.5074784600757003</v>
      </c>
      <c r="F19">
        <v>13277693076.012289</v>
      </c>
      <c r="G19">
        <v>10489377530.049709</v>
      </c>
      <c r="H19">
        <v>338180791.80809653</v>
      </c>
      <c r="I19">
        <v>2070280365.4568</v>
      </c>
      <c r="J19">
        <v>-61638971515.98838</v>
      </c>
      <c r="K19">
        <v>-6185060840.5133438</v>
      </c>
      <c r="L19">
        <v>14942338796.914351</v>
      </c>
      <c r="M19" t="s">
        <v>100</v>
      </c>
    </row>
    <row r="20" spans="1:13" x14ac:dyDescent="0.3">
      <c r="A20" t="s">
        <v>109</v>
      </c>
      <c r="B20">
        <v>1.8222624E+18</v>
      </c>
      <c r="C20" t="s">
        <v>103</v>
      </c>
      <c r="D20">
        <v>27761059170.1511</v>
      </c>
      <c r="E20">
        <v>0.51557466839245591</v>
      </c>
      <c r="F20">
        <v>14312898875.874001</v>
      </c>
      <c r="G20">
        <v>11307190111.94046</v>
      </c>
      <c r="H20">
        <v>358822738.51821202</v>
      </c>
      <c r="I20">
        <v>2196646551.8693271</v>
      </c>
      <c r="J20">
        <v>-65401303369.600471</v>
      </c>
      <c r="K20">
        <v>-3762331853.6120911</v>
      </c>
      <c r="L20">
        <v>13231698152.201441</v>
      </c>
      <c r="M20" t="s">
        <v>102</v>
      </c>
    </row>
    <row r="21" spans="1:13" x14ac:dyDescent="0.3">
      <c r="A21" t="s">
        <v>109</v>
      </c>
      <c r="B21">
        <v>1.8302112E+18</v>
      </c>
      <c r="C21" t="s">
        <v>105</v>
      </c>
      <c r="D21">
        <v>31300444139.95694</v>
      </c>
      <c r="E21">
        <v>0.52967222331001884</v>
      </c>
      <c r="F21">
        <v>16578975838.20204</v>
      </c>
      <c r="G21">
        <v>13097390912.179621</v>
      </c>
      <c r="H21">
        <v>404570697.90808481</v>
      </c>
      <c r="I21">
        <v>2476707112.3115449</v>
      </c>
      <c r="J21">
        <v>-73739615994.248627</v>
      </c>
      <c r="K21">
        <v>-8338312624.6481552</v>
      </c>
      <c r="L21">
        <v>19363567122.424309</v>
      </c>
      <c r="M21" t="s">
        <v>104</v>
      </c>
    </row>
    <row r="32" spans="1:13" x14ac:dyDescent="0.3">
      <c r="M32">
        <f>(0.613-0.0717)/(0.0956-0.0717)</f>
        <v>22.648535564853553</v>
      </c>
    </row>
    <row r="33" spans="13:13" x14ac:dyDescent="0.3">
      <c r="M33">
        <f>22.34/0.613</f>
        <v>36.443719412724306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00_Index</vt:lpstr>
      <vt:lpstr>01_Runtime_Summary</vt:lpstr>
      <vt:lpstr>B_Historical_Performance</vt:lpstr>
      <vt:lpstr>C_ProForma_Forecast</vt:lpstr>
      <vt:lpstr>D_FCFF_Components</vt:lpstr>
      <vt:lpstr>E2_DCF_Decomposition</vt:lpstr>
      <vt:lpstr>E_Relative_Valuation</vt:lpstr>
      <vt:lpstr>F_Target_Price_Comp</vt:lpstr>
      <vt:lpstr>G_Chart_Data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2026-04-14T05:10:38Z</dcterms:created>
  <dcterms:modified xsi:type="dcterms:W3CDTF">2026-04-14T14:14:53Z</dcterms:modified>
</cp:coreProperties>
</file>