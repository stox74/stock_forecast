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09b82bc37418700/바탕 화면/investment/investment_strategy/reports/"/>
    </mc:Choice>
  </mc:AlternateContent>
  <xr:revisionPtr revIDLastSave="28" documentId="11_88E1D158076FF73D541789C2C05FB0EFAA2C08BA" xr6:coauthVersionLast="47" xr6:coauthVersionMax="47" xr10:uidLastSave="{1506107E-54A4-4A3D-8B46-5EA4BBD7B7DB}"/>
  <bookViews>
    <workbookView xWindow="1995" yWindow="0" windowWidth="28800" windowHeight="23400" activeTab="3" xr2:uid="{00000000-000D-0000-FFFF-FFFF00000000}"/>
  </bookViews>
  <sheets>
    <sheet name="00_Index" sheetId="1" r:id="rId1"/>
    <sheet name="01_Runtime_Summary" sheetId="2" r:id="rId2"/>
    <sheet name="B_Historical_Performance" sheetId="3" r:id="rId3"/>
    <sheet name="C_ProForma_Forecast" sheetId="4" r:id="rId4"/>
    <sheet name="D_FCFF_Components" sheetId="5" r:id="rId5"/>
    <sheet name="E2_DCF_Decomposition" sheetId="6" r:id="rId6"/>
    <sheet name="E_Relative_Valuation" sheetId="7" r:id="rId7"/>
    <sheet name="F_Target_Price_Comp" sheetId="8" r:id="rId8"/>
    <sheet name="G_Chart_Dat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7" l="1"/>
  <c r="D36" i="7"/>
  <c r="D21" i="7"/>
</calcChain>
</file>

<file path=xl/sharedStrings.xml><?xml version="1.0" encoding="utf-8"?>
<sst xmlns="http://schemas.openxmlformats.org/spreadsheetml/2006/main" count="362" uniqueCount="183">
  <si>
    <t>sheet_name</t>
  </si>
  <si>
    <t>description</t>
  </si>
  <si>
    <t>00_Index</t>
  </si>
  <si>
    <t>Workbook index</t>
  </si>
  <si>
    <t>01_Runtime_Summary</t>
  </si>
  <si>
    <t>Ticker / model / parameter summary</t>
  </si>
  <si>
    <t>B_Historical_Performance</t>
  </si>
  <si>
    <t>Section B historical performance (12Q)</t>
  </si>
  <si>
    <t>C_ProForma_Forecast</t>
  </si>
  <si>
    <t>Section C forward pro-forma (8Q)</t>
  </si>
  <si>
    <t>D_FCFF_Components</t>
  </si>
  <si>
    <t>Section D FCFF components</t>
  </si>
  <si>
    <t>E2_DCF_Decomposition</t>
  </si>
  <si>
    <t>Section E-2 DCF decomposition summary</t>
  </si>
  <si>
    <t>E_Relative_Valuation</t>
  </si>
  <si>
    <t>Section E relative valuation</t>
  </si>
  <si>
    <t>F_Target_Price_Comp</t>
  </si>
  <si>
    <t>Section F target price comparison</t>
  </si>
  <si>
    <t>G_Chart_Data</t>
  </si>
  <si>
    <t>Section G chart source data</t>
  </si>
  <si>
    <t>item</t>
  </si>
  <si>
    <t>value</t>
  </si>
  <si>
    <t>ticker</t>
  </si>
  <si>
    <t>NFLX</t>
  </si>
  <si>
    <t>current_price</t>
  </si>
  <si>
    <t>sales_model</t>
  </si>
  <si>
    <t>Ensemble</t>
  </si>
  <si>
    <t>hist_qtrs</t>
  </si>
  <si>
    <t>fwd_qtrs</t>
  </si>
  <si>
    <t>tax_rate</t>
  </si>
  <si>
    <t>da_ratio_alpha</t>
  </si>
  <si>
    <t>capex_ratio_beta</t>
  </si>
  <si>
    <t>nwc_ratio_gamma</t>
  </si>
  <si>
    <t>alpha_method</t>
  </si>
  <si>
    <t>ols</t>
  </si>
  <si>
    <t>beta_method</t>
  </si>
  <si>
    <t>gamma_method</t>
  </si>
  <si>
    <t>fcff_target_price</t>
  </si>
  <si>
    <t>fcff_upside_pct</t>
  </si>
  <si>
    <t>wacc</t>
  </si>
  <si>
    <t>g_terminal</t>
  </si>
  <si>
    <t>fcff_run_date</t>
  </si>
  <si>
    <t>2026-04-14</t>
  </si>
  <si>
    <t>tp_pbr</t>
  </si>
  <si>
    <t>tp_per</t>
  </si>
  <si>
    <t>tp_psr</t>
  </si>
  <si>
    <t>tp_avg</t>
  </si>
  <si>
    <t>upside_pbr</t>
  </si>
  <si>
    <t>upside_per</t>
  </si>
  <si>
    <t>upside_psr</t>
  </si>
  <si>
    <t>upside_avg</t>
  </si>
  <si>
    <t>actual_pbr</t>
  </si>
  <si>
    <t>actual_per</t>
  </si>
  <si>
    <t>actual_psr</t>
  </si>
  <si>
    <t>pbr_theory</t>
  </si>
  <si>
    <t>per_theory</t>
  </si>
  <si>
    <t>psr_theory</t>
  </si>
  <si>
    <t>re_low</t>
  </si>
  <si>
    <t>re_mid</t>
  </si>
  <si>
    <t>re_high</t>
  </si>
  <si>
    <t>g_est</t>
  </si>
  <si>
    <t>roe_y1</t>
  </si>
  <si>
    <t>roe_y2</t>
  </si>
  <si>
    <t>date</t>
  </si>
  <si>
    <t>Quarter</t>
  </si>
  <si>
    <t>Sales</t>
  </si>
  <si>
    <t>EBIT</t>
  </si>
  <si>
    <t>NOPAT</t>
  </si>
  <si>
    <t>OPM</t>
  </si>
  <si>
    <t>NPM</t>
  </si>
  <si>
    <t>Sales_YoY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</si>
  <si>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</si>
  <si>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</si>
  <si>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</si>
  <si>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</si>
  <si>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</si>
  <si>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</si>
  <si>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</si>
  <si>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</si>
  <si>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</si>
  <si>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</si>
  <si>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</si>
  <si>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</si>
  <si>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quarter</t>
  </si>
  <si>
    <t>DA</t>
  </si>
  <si>
    <t>CapEx</t>
  </si>
  <si>
    <t>NWC</t>
  </si>
  <si>
    <t>ΔNWC</t>
  </si>
  <si>
    <t>FCFF</t>
  </si>
  <si>
    <t>1Q_F</t>
  </si>
  <si>
    <t>2026Q1</t>
  </si>
  <si>
    <t>2Q_F</t>
  </si>
  <si>
    <t>2026Q2</t>
  </si>
  <si>
    <t>3Q_F</t>
  </si>
  <si>
    <t>2026Q3</t>
  </si>
  <si>
    <t>4Q_F</t>
  </si>
  <si>
    <t>2026Q4</t>
  </si>
  <si>
    <t>5Q_F</t>
  </si>
  <si>
    <t>2027Q1</t>
  </si>
  <si>
    <t>6Q_F</t>
  </si>
  <si>
    <t>2027Q2</t>
  </si>
  <si>
    <t>7Q_F</t>
  </si>
  <si>
    <t>2027Q3</t>
  </si>
  <si>
    <t>8Q_F</t>
  </si>
  <si>
    <t>2027Q4</t>
  </si>
  <si>
    <t>source</t>
  </si>
  <si>
    <t>col_label</t>
  </si>
  <si>
    <t>historical</t>
  </si>
  <si>
    <t>forecast</t>
  </si>
  <si>
    <t>metric</t>
  </si>
  <si>
    <t>_run_date</t>
  </si>
  <si>
    <t>_wacc</t>
  </si>
  <si>
    <t>_g_term</t>
  </si>
  <si>
    <t>_db_tp</t>
  </si>
  <si>
    <t>_db_up</t>
  </si>
  <si>
    <t>_rho</t>
  </si>
  <si>
    <t>_g0</t>
  </si>
  <si>
    <t>_n_ph2</t>
  </si>
  <si>
    <t>_moat_label</t>
  </si>
  <si>
    <t>Wide moat</t>
  </si>
  <si>
    <t>_pv_fcff</t>
  </si>
  <si>
    <t>_pv_tv</t>
  </si>
  <si>
    <t>_ev_recon</t>
  </si>
  <si>
    <t>_fcff_last_ann</t>
  </si>
  <si>
    <t>_tv</t>
  </si>
  <si>
    <t>_T_total</t>
  </si>
  <si>
    <t>phase1_fcff_year_1</t>
  </si>
  <si>
    <t>phase1_fcff_year_2</t>
  </si>
  <si>
    <t>phase2_fcff_year_3</t>
  </si>
  <si>
    <t>phase2_fcff_year_4</t>
  </si>
  <si>
    <t>phase2_fcff_year_5</t>
  </si>
  <si>
    <t>phase2_fcff_year_6</t>
  </si>
  <si>
    <t>phase2_fcff_year_7</t>
  </si>
  <si>
    <t>phase2_fcff_year_8</t>
  </si>
  <si>
    <t>phase2_fcff_year_9</t>
  </si>
  <si>
    <t>phase2_fcff_year_10</t>
  </si>
  <si>
    <t>phase2_fcff_year_11</t>
  </si>
  <si>
    <t>phase2_fcff_year_12</t>
  </si>
  <si>
    <t>phase2_fcff_year_13</t>
  </si>
  <si>
    <t>phase2_fcff_year_14</t>
  </si>
  <si>
    <t>phase2_fcff_year_15</t>
  </si>
  <si>
    <t>phase2_fcff_year_16</t>
  </si>
  <si>
    <t>phase2_fcff_year_17</t>
  </si>
  <si>
    <t>phase2_growth_year_3</t>
  </si>
  <si>
    <t>phase2_growth_year_4</t>
  </si>
  <si>
    <t>phase2_growth_year_5</t>
  </si>
  <si>
    <t>phase2_growth_year_6</t>
  </si>
  <si>
    <t>phase2_growth_year_7</t>
  </si>
  <si>
    <t>phase2_growth_year_8</t>
  </si>
  <si>
    <t>phase2_growth_year_9</t>
  </si>
  <si>
    <t>phase2_growth_year_10</t>
  </si>
  <si>
    <t>phase2_growth_year_11</t>
  </si>
  <si>
    <t>phase2_growth_year_12</t>
  </si>
  <si>
    <t>phase2_growth_year_13</t>
  </si>
  <si>
    <t>phase2_growth_year_14</t>
  </si>
  <si>
    <t>phase2_growth_year_15</t>
  </si>
  <si>
    <t>phase2_growth_year_16</t>
  </si>
  <si>
    <t>phase2_growth_year_17</t>
  </si>
  <si>
    <t>section</t>
  </si>
  <si>
    <t>dupont_2yr</t>
  </si>
  <si>
    <t>sales_y1</t>
  </si>
  <si>
    <t>sales_y2</t>
  </si>
  <si>
    <t>npm_y1</t>
  </si>
  <si>
    <t>npm_y2</t>
  </si>
  <si>
    <t>at_y1</t>
  </si>
  <si>
    <t>at_y2</t>
  </si>
  <si>
    <t>fl_y1</t>
  </si>
  <si>
    <t>fl_y2</t>
  </si>
  <si>
    <t>relative_valuation</t>
  </si>
  <si>
    <t>beta_raw</t>
  </si>
  <si>
    <t>beta_blume</t>
  </si>
  <si>
    <t>beta_sector</t>
  </si>
  <si>
    <t>beta_ensemble</t>
  </si>
  <si>
    <t>Method</t>
  </si>
  <si>
    <t>Target Price</t>
  </si>
  <si>
    <t>Upside (%)</t>
  </si>
  <si>
    <t>Current</t>
  </si>
  <si>
    <t>FCFF DCF</t>
  </si>
  <si>
    <t>PBR</t>
  </si>
  <si>
    <t>PER</t>
  </si>
  <si>
    <t>PSR</t>
  </si>
  <si>
    <t>Avg(PBR/PER/PSR)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</si>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</sst>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I25" sqref="I25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workbookViewId="0">
      <selection activeCell="B30" sqref="B30:B32"/>
    </sheetView>
  </sheetViews>
  <sheetFormatPr defaultRowHeight="16.5" x14ac:dyDescent="0.3"/>
  <cols>
    <col min="1" max="1" width="15" customWidth="1"/>
    <col min="2" max="2" width="13.625" bestFit="1" customWidth="1"/>
  </cols>
  <sheetData>
    <row r="1" spans="1:2" x14ac:dyDescent="0.3">
      <c r="A1" s="1" t="s">
        <v>20</v>
      </c>
      <c r="B1" s="1" t="s">
        <v>21</v>
      </c>
    </row>
    <row r="2" spans="1:2" x14ac:dyDescent="0.3">
      <c r="A2" t="s">
        <v>22</v>
      </c>
      <c r="B2" t="s">
        <v>23</v>
      </c>
    </row>
    <row r="3" spans="1:2" x14ac:dyDescent="0.3">
      <c r="A3" t="s">
        <v>24</v>
      </c>
      <c r="B3">
        <v>103.16</v>
      </c>
    </row>
    <row r="4" spans="1:2" x14ac:dyDescent="0.3">
      <c r="A4" t="s">
        <v>25</v>
      </c>
      <c r="B4" t="s">
        <v>26</v>
      </c>
    </row>
    <row r="5" spans="1:2" x14ac:dyDescent="0.3">
      <c r="A5" t="s">
        <v>27</v>
      </c>
      <c r="B5">
        <v>12</v>
      </c>
    </row>
    <row r="6" spans="1:2" x14ac:dyDescent="0.3">
      <c r="A6" t="s">
        <v>28</v>
      </c>
      <c r="B6">
        <v>8</v>
      </c>
    </row>
    <row r="7" spans="1:2" x14ac:dyDescent="0.3">
      <c r="A7" t="s">
        <v>29</v>
      </c>
      <c r="B7">
        <v>0.21</v>
      </c>
    </row>
    <row r="8" spans="1:2" x14ac:dyDescent="0.3">
      <c r="A8" t="s">
        <v>30</v>
      </c>
      <c r="B8">
        <v>0.34410190609517283</v>
      </c>
    </row>
    <row r="9" spans="1:2" x14ac:dyDescent="0.3">
      <c r="A9" t="s">
        <v>31</v>
      </c>
      <c r="B9">
        <v>1.208994487513335E-2</v>
      </c>
    </row>
    <row r="10" spans="1:2" x14ac:dyDescent="0.3">
      <c r="A10" t="s">
        <v>32</v>
      </c>
      <c r="B10">
        <v>-1.2555213991494649</v>
      </c>
    </row>
    <row r="11" spans="1:2" x14ac:dyDescent="0.3">
      <c r="A11" t="s">
        <v>33</v>
      </c>
      <c r="B11" t="s">
        <v>34</v>
      </c>
    </row>
    <row r="12" spans="1:2" x14ac:dyDescent="0.3">
      <c r="A12" t="s">
        <v>35</v>
      </c>
      <c r="B12" t="s">
        <v>34</v>
      </c>
    </row>
    <row r="13" spans="1:2" x14ac:dyDescent="0.3">
      <c r="A13" t="s">
        <v>36</v>
      </c>
      <c r="B13" t="s">
        <v>34</v>
      </c>
    </row>
    <row r="14" spans="1:2" x14ac:dyDescent="0.3">
      <c r="A14" t="s">
        <v>37</v>
      </c>
      <c r="B14">
        <v>280.24393921141223</v>
      </c>
    </row>
    <row r="15" spans="1:2" x14ac:dyDescent="0.3">
      <c r="A15" t="s">
        <v>38</v>
      </c>
      <c r="B15">
        <v>171.65949904169469</v>
      </c>
    </row>
    <row r="16" spans="1:2" x14ac:dyDescent="0.3">
      <c r="A16" t="s">
        <v>39</v>
      </c>
      <c r="B16">
        <v>0.13704286502601201</v>
      </c>
    </row>
    <row r="17" spans="1:2" x14ac:dyDescent="0.3">
      <c r="A17" t="s">
        <v>40</v>
      </c>
      <c r="B17">
        <v>0.04</v>
      </c>
    </row>
    <row r="18" spans="1:2" x14ac:dyDescent="0.3">
      <c r="A18" t="s">
        <v>41</v>
      </c>
      <c r="B18" t="s">
        <v>42</v>
      </c>
    </row>
    <row r="19" spans="1:2" x14ac:dyDescent="0.3">
      <c r="A19" t="s">
        <v>43</v>
      </c>
      <c r="B19">
        <v>184.39633659119201</v>
      </c>
    </row>
    <row r="20" spans="1:2" x14ac:dyDescent="0.3">
      <c r="A20" t="s">
        <v>44</v>
      </c>
      <c r="B20">
        <v>149.7352238971576</v>
      </c>
    </row>
    <row r="21" spans="1:2" x14ac:dyDescent="0.3">
      <c r="A21" t="s">
        <v>45</v>
      </c>
      <c r="B21">
        <v>44.58338936279825</v>
      </c>
    </row>
    <row r="22" spans="1:2" x14ac:dyDescent="0.3">
      <c r="A22" t="s">
        <v>46</v>
      </c>
      <c r="B22">
        <v>126.23831661704931</v>
      </c>
    </row>
    <row r="23" spans="1:2" x14ac:dyDescent="0.3">
      <c r="A23" t="s">
        <v>47</v>
      </c>
      <c r="B23">
        <v>-18.537355535163869</v>
      </c>
    </row>
    <row r="24" spans="1:2" x14ac:dyDescent="0.3">
      <c r="A24" t="s">
        <v>48</v>
      </c>
      <c r="B24">
        <v>-33.849947706719057</v>
      </c>
    </row>
    <row r="25" spans="1:2" x14ac:dyDescent="0.3">
      <c r="A25" t="s">
        <v>49</v>
      </c>
      <c r="B25">
        <v>-81.394010992643516</v>
      </c>
    </row>
    <row r="26" spans="1:2" x14ac:dyDescent="0.3">
      <c r="A26" t="s">
        <v>50</v>
      </c>
      <c r="B26">
        <v>22.54957442680254</v>
      </c>
    </row>
    <row r="27" spans="1:2" x14ac:dyDescent="0.3">
      <c r="A27" t="s">
        <v>51</v>
      </c>
      <c r="B27">
        <v>12.64516432567267</v>
      </c>
    </row>
    <row r="28" spans="1:2" x14ac:dyDescent="0.3">
      <c r="A28" t="s">
        <v>52</v>
      </c>
      <c r="B28">
        <v>25.41889319712838</v>
      </c>
    </row>
    <row r="29" spans="1:2" x14ac:dyDescent="0.3">
      <c r="A29" t="s">
        <v>53</v>
      </c>
      <c r="B29">
        <v>7.1834625067717166</v>
      </c>
    </row>
    <row r="30" spans="1:2" x14ac:dyDescent="0.3">
      <c r="A30" t="s">
        <v>54</v>
      </c>
      <c r="B30">
        <v>10.30108525661702</v>
      </c>
    </row>
    <row r="31" spans="1:2" x14ac:dyDescent="0.3">
      <c r="A31" t="s">
        <v>55</v>
      </c>
      <c r="B31">
        <v>16.814611142273659</v>
      </c>
    </row>
    <row r="32" spans="1:2" x14ac:dyDescent="0.3">
      <c r="A32" t="s">
        <v>56</v>
      </c>
      <c r="B32">
        <v>1.33655424435752</v>
      </c>
    </row>
    <row r="33" spans="1:2" x14ac:dyDescent="0.3">
      <c r="A33" t="s">
        <v>57</v>
      </c>
      <c r="B33">
        <v>8.4588999999999998E-2</v>
      </c>
    </row>
    <row r="34" spans="1:2" x14ac:dyDescent="0.3">
      <c r="A34" t="s">
        <v>58</v>
      </c>
      <c r="B34">
        <v>9.5588999999999993E-2</v>
      </c>
    </row>
    <row r="35" spans="1:2" x14ac:dyDescent="0.3">
      <c r="A35" t="s">
        <v>59</v>
      </c>
      <c r="B35">
        <v>0.106589</v>
      </c>
    </row>
    <row r="36" spans="1:2" x14ac:dyDescent="0.3">
      <c r="A36" t="s">
        <v>60</v>
      </c>
      <c r="B36">
        <v>0.04</v>
      </c>
    </row>
    <row r="37" spans="1:2" x14ac:dyDescent="0.3">
      <c r="A37" t="s">
        <v>61</v>
      </c>
      <c r="B37">
        <v>0.61262702833008353</v>
      </c>
    </row>
    <row r="38" spans="1:2" x14ac:dyDescent="0.3">
      <c r="A38" t="s">
        <v>62</v>
      </c>
      <c r="B38">
        <v>0.61262702833008353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selection activeCell="C13" sqref="C13"/>
    </sheetView>
  </sheetViews>
  <sheetFormatPr defaultRowHeight="16.5" x14ac:dyDescent="0.3"/>
  <cols>
    <col min="1" max="1" width="13.125" bestFit="1" customWidth="1"/>
    <col min="3" max="3" width="12.75" bestFit="1" customWidth="1"/>
  </cols>
  <sheetData>
    <row r="1" spans="1:8" x14ac:dyDescent="0.3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x14ac:dyDescent="0.3">
      <c r="A2">
        <v>1.6802208E+18</v>
      </c>
      <c r="B2" t="s">
        <v>71</v>
      </c>
      <c r="C2">
        <v>8161503000</v>
      </c>
      <c r="D2">
        <v>1714317000</v>
      </c>
      <c r="E2">
        <v>1354310430</v>
      </c>
      <c r="F2">
        <v>0.21004917844176499</v>
      </c>
      <c r="G2">
        <v>0.15991172214235541</v>
      </c>
    </row>
    <row r="3" spans="1:8" x14ac:dyDescent="0.3">
      <c r="A3">
        <v>1.6880832E+18</v>
      </c>
      <c r="B3" t="s">
        <v>72</v>
      </c>
      <c r="C3">
        <v>8187301000</v>
      </c>
      <c r="D3">
        <v>1827183000</v>
      </c>
      <c r="E3">
        <v>1443474570</v>
      </c>
      <c r="F3">
        <v>0.2231728136048742</v>
      </c>
      <c r="G3">
        <v>0.1816972406413298</v>
      </c>
    </row>
    <row r="4" spans="1:8" x14ac:dyDescent="0.3">
      <c r="A4">
        <v>1.696032E+18</v>
      </c>
      <c r="B4" t="s">
        <v>73</v>
      </c>
      <c r="C4">
        <v>8541668000</v>
      </c>
      <c r="D4">
        <v>1916394000</v>
      </c>
      <c r="E4">
        <v>1513951260</v>
      </c>
      <c r="F4">
        <v>0.2243582869294381</v>
      </c>
      <c r="G4">
        <v>0.19638108154051409</v>
      </c>
    </row>
    <row r="5" spans="1:8" x14ac:dyDescent="0.3">
      <c r="A5">
        <v>1.7039808E+18</v>
      </c>
      <c r="B5" t="s">
        <v>74</v>
      </c>
      <c r="C5">
        <v>8832825000</v>
      </c>
      <c r="D5">
        <v>1496109000</v>
      </c>
      <c r="E5">
        <v>1181926110</v>
      </c>
      <c r="F5">
        <v>0.1693805775615389</v>
      </c>
      <c r="G5">
        <v>0.1061764497768268</v>
      </c>
    </row>
    <row r="6" spans="1:8" x14ac:dyDescent="0.3">
      <c r="A6">
        <v>1.7118432E+18</v>
      </c>
      <c r="B6" t="s">
        <v>75</v>
      </c>
      <c r="C6">
        <v>9370440000</v>
      </c>
      <c r="D6">
        <v>2632534000</v>
      </c>
      <c r="E6">
        <v>2079701860</v>
      </c>
      <c r="F6">
        <v>0.28094027601692129</v>
      </c>
      <c r="G6">
        <v>0.24889002010577951</v>
      </c>
      <c r="H6">
        <v>0.14812676047536821</v>
      </c>
    </row>
    <row r="7" spans="1:8" x14ac:dyDescent="0.3">
      <c r="A7">
        <v>1.7197056E+18</v>
      </c>
      <c r="B7" t="s">
        <v>76</v>
      </c>
      <c r="C7">
        <v>9559310000</v>
      </c>
      <c r="D7">
        <v>2602837000</v>
      </c>
      <c r="E7">
        <v>2056241230</v>
      </c>
      <c r="F7">
        <v>0.27228293673915788</v>
      </c>
      <c r="G7">
        <v>0.22462981114745731</v>
      </c>
      <c r="H7">
        <v>0.16757769135396389</v>
      </c>
    </row>
    <row r="8" spans="1:8" x14ac:dyDescent="0.3">
      <c r="A8">
        <v>1.7276544E+18</v>
      </c>
      <c r="B8" t="s">
        <v>77</v>
      </c>
      <c r="C8">
        <v>9824703000</v>
      </c>
      <c r="D8">
        <v>2909477000</v>
      </c>
      <c r="E8">
        <v>2298486830</v>
      </c>
      <c r="F8">
        <v>0.29613892654057838</v>
      </c>
      <c r="G8">
        <v>0.24056798459963619</v>
      </c>
      <c r="H8">
        <v>0.15020895216250499</v>
      </c>
    </row>
    <row r="9" spans="1:8" x14ac:dyDescent="0.3">
      <c r="A9">
        <v>1.7356032E+18</v>
      </c>
      <c r="B9" t="s">
        <v>78</v>
      </c>
      <c r="C9">
        <v>10246513000</v>
      </c>
      <c r="D9">
        <v>2272766000</v>
      </c>
      <c r="E9">
        <v>1795485140</v>
      </c>
      <c r="F9">
        <v>0.22180872653945791</v>
      </c>
      <c r="G9">
        <v>0.1823651616896402</v>
      </c>
      <c r="H9">
        <v>0.1600493613311709</v>
      </c>
    </row>
    <row r="10" spans="1:8" x14ac:dyDescent="0.3">
      <c r="A10">
        <v>1.7433792E+18</v>
      </c>
      <c r="B10" t="s">
        <v>79</v>
      </c>
      <c r="C10">
        <v>10542801000</v>
      </c>
      <c r="D10">
        <v>3346999000</v>
      </c>
      <c r="E10">
        <v>2644129210</v>
      </c>
      <c r="F10">
        <v>0.31746772039043508</v>
      </c>
      <c r="G10">
        <v>0.27415399380107808</v>
      </c>
      <c r="H10">
        <v>0.12511269481475781</v>
      </c>
    </row>
    <row r="11" spans="1:8" x14ac:dyDescent="0.3">
      <c r="A11">
        <v>1.7512416E+18</v>
      </c>
      <c r="B11" t="s">
        <v>80</v>
      </c>
      <c r="C11">
        <v>11079166000</v>
      </c>
      <c r="D11">
        <v>3774694000</v>
      </c>
      <c r="E11">
        <v>2982008260</v>
      </c>
      <c r="F11">
        <v>0.34070199868834888</v>
      </c>
      <c r="G11">
        <v>0.28209821930639911</v>
      </c>
      <c r="H11">
        <v>0.1589922285185856</v>
      </c>
    </row>
    <row r="12" spans="1:8" x14ac:dyDescent="0.3">
      <c r="A12">
        <v>1.7591904E+18</v>
      </c>
      <c r="B12" t="s">
        <v>81</v>
      </c>
      <c r="C12">
        <v>11510307000</v>
      </c>
      <c r="D12">
        <v>3248247000</v>
      </c>
      <c r="E12">
        <v>2566115130</v>
      </c>
      <c r="F12">
        <v>0.28220333306487833</v>
      </c>
      <c r="G12">
        <v>0.22127263851433329</v>
      </c>
      <c r="H12">
        <v>0.17156793442000229</v>
      </c>
    </row>
    <row r="13" spans="1:8" x14ac:dyDescent="0.3">
      <c r="A13">
        <v>1.7671392E+18</v>
      </c>
      <c r="B13" t="s">
        <v>82</v>
      </c>
      <c r="C13">
        <v>12050762000</v>
      </c>
      <c r="D13">
        <v>2956663000</v>
      </c>
      <c r="E13">
        <v>2335763770</v>
      </c>
      <c r="F13">
        <v>0.24535070894272079</v>
      </c>
      <c r="G13">
        <v>0.20069444571222969</v>
      </c>
      <c r="H13">
        <v>0.17608419566734559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tabSelected="1" workbookViewId="0">
      <selection activeCell="J12" sqref="J12"/>
    </sheetView>
  </sheetViews>
  <sheetFormatPr defaultRowHeight="16.5" x14ac:dyDescent="0.3"/>
  <cols>
    <col min="4" max="4" width="12.75" bestFit="1" customWidth="1"/>
    <col min="6" max="8" width="11.625" bestFit="1" customWidth="1"/>
    <col min="9" max="9" width="12.75" bestFit="1" customWidth="1"/>
    <col min="10" max="11" width="13.625" bestFit="1" customWidth="1"/>
    <col min="12" max="12" width="12.75" bestFit="1" customWidth="1"/>
  </cols>
  <sheetData>
    <row r="1" spans="1:12" x14ac:dyDescent="0.3">
      <c r="A1" s="1" t="s">
        <v>64</v>
      </c>
      <c r="B1" s="1" t="s">
        <v>63</v>
      </c>
      <c r="C1" s="1" t="s">
        <v>83</v>
      </c>
      <c r="D1" s="1" t="s">
        <v>65</v>
      </c>
      <c r="E1" s="1" t="s">
        <v>68</v>
      </c>
      <c r="F1" s="1" t="s">
        <v>66</v>
      </c>
      <c r="G1" s="1" t="s">
        <v>67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</row>
    <row r="2" spans="1:12" x14ac:dyDescent="0.3">
      <c r="A2" t="s">
        <v>89</v>
      </c>
      <c r="B2">
        <v>1.7749152E+18</v>
      </c>
      <c r="C2" t="s">
        <v>90</v>
      </c>
      <c r="D2">
        <v>12624481032.95738</v>
      </c>
      <c r="E2">
        <v>0.34611189822022981</v>
      </c>
      <c r="F2">
        <v>4369483094.3621635</v>
      </c>
      <c r="G2">
        <v>3451891644.5461102</v>
      </c>
      <c r="H2">
        <v>4344107986.9029894</v>
      </c>
      <c r="I2">
        <v>152629279.76562119</v>
      </c>
      <c r="J2">
        <v>-15850306090.034519</v>
      </c>
      <c r="K2">
        <v>0</v>
      </c>
      <c r="L2">
        <v>7643370351.6834784</v>
      </c>
    </row>
    <row r="3" spans="1:12" x14ac:dyDescent="0.3">
      <c r="A3" t="s">
        <v>91</v>
      </c>
      <c r="B3">
        <v>1.7827776E+18</v>
      </c>
      <c r="C3" t="s">
        <v>92</v>
      </c>
      <c r="D3">
        <v>13072472039.39072</v>
      </c>
      <c r="E3">
        <v>0.33458612083494632</v>
      </c>
      <c r="F3">
        <v>4373867709.3830395</v>
      </c>
      <c r="G3">
        <v>3455355490.412601</v>
      </c>
      <c r="H3">
        <v>4498262546.1301966</v>
      </c>
      <c r="I3">
        <v>158045466.3379558</v>
      </c>
      <c r="J3">
        <v>-16412768385.238091</v>
      </c>
      <c r="K3">
        <v>-562462295.20356369</v>
      </c>
      <c r="L3">
        <v>8358034865.4084063</v>
      </c>
    </row>
    <row r="4" spans="1:12" x14ac:dyDescent="0.3">
      <c r="A4" t="s">
        <v>93</v>
      </c>
      <c r="B4">
        <v>1.7907264E+18</v>
      </c>
      <c r="C4" t="s">
        <v>94</v>
      </c>
      <c r="D4">
        <v>13509863194.27593</v>
      </c>
      <c r="E4">
        <v>0.33093295464572769</v>
      </c>
      <c r="F4">
        <v>4470858943.7413034</v>
      </c>
      <c r="G4">
        <v>3531978565.5556302</v>
      </c>
      <c r="H4">
        <v>4648769676.2353687</v>
      </c>
      <c r="I4">
        <v>163333501.28938901</v>
      </c>
      <c r="J4">
        <v>-16961922339.99518</v>
      </c>
      <c r="K4">
        <v>-549153954.75708961</v>
      </c>
      <c r="L4">
        <v>8566568695.2586994</v>
      </c>
    </row>
    <row r="5" spans="1:12" x14ac:dyDescent="0.3">
      <c r="A5" t="s">
        <v>95</v>
      </c>
      <c r="B5">
        <v>1.7986752E+18</v>
      </c>
      <c r="C5" t="s">
        <v>96</v>
      </c>
      <c r="D5">
        <v>14001339209.224461</v>
      </c>
      <c r="E5">
        <v>0.2432001800240087</v>
      </c>
      <c r="F5">
        <v>3405128216.2605991</v>
      </c>
      <c r="G5">
        <v>2690051290.8458729</v>
      </c>
      <c r="H5">
        <v>4817887509.7792158</v>
      </c>
      <c r="I5">
        <v>169275419.21756679</v>
      </c>
      <c r="J5">
        <v>-17578980993.931751</v>
      </c>
      <c r="K5">
        <v>-617058653.93657303</v>
      </c>
      <c r="L5">
        <v>7955722035.3440962</v>
      </c>
    </row>
    <row r="6" spans="1:12" x14ac:dyDescent="0.3">
      <c r="A6" t="s">
        <v>97</v>
      </c>
      <c r="B6">
        <v>1.8064512E+18</v>
      </c>
      <c r="C6" t="s">
        <v>98</v>
      </c>
      <c r="D6">
        <v>14674038835.98464</v>
      </c>
      <c r="E6">
        <v>0.36333121732988749</v>
      </c>
      <c r="F6">
        <v>5331536393.4243441</v>
      </c>
      <c r="G6">
        <v>4211913750.805232</v>
      </c>
      <c r="H6">
        <v>5049364733.5769062</v>
      </c>
      <c r="I6">
        <v>177408320.62262031</v>
      </c>
      <c r="J6">
        <v>-18423569770.529018</v>
      </c>
      <c r="K6">
        <v>-844588776.59726715</v>
      </c>
      <c r="L6">
        <v>9928458940.3567848</v>
      </c>
    </row>
    <row r="7" spans="1:12" x14ac:dyDescent="0.3">
      <c r="A7" t="s">
        <v>99</v>
      </c>
      <c r="B7">
        <v>1.8143136E+18</v>
      </c>
      <c r="C7" t="s">
        <v>100</v>
      </c>
      <c r="D7">
        <v>15204115501.949499</v>
      </c>
      <c r="E7">
        <v>0.35093956236530199</v>
      </c>
      <c r="F7">
        <v>5335725640.4056625</v>
      </c>
      <c r="G7">
        <v>4215223255.9204741</v>
      </c>
      <c r="H7">
        <v>5231765124.7119884</v>
      </c>
      <c r="I7">
        <v>183816918.2937299</v>
      </c>
      <c r="J7">
        <v>-19089092367.8377</v>
      </c>
      <c r="K7">
        <v>-665522597.3086853</v>
      </c>
      <c r="L7">
        <v>9928694059.6474171</v>
      </c>
    </row>
    <row r="8" spans="1:12" x14ac:dyDescent="0.3">
      <c r="A8" t="s">
        <v>101</v>
      </c>
      <c r="B8">
        <v>1.8222624E+18</v>
      </c>
      <c r="C8" t="s">
        <v>102</v>
      </c>
      <c r="D8">
        <v>15723448927.371099</v>
      </c>
      <c r="E8">
        <v>0.34716410519358681</v>
      </c>
      <c r="F8">
        <v>5458617077.4278507</v>
      </c>
      <c r="G8">
        <v>4312307491.1680021</v>
      </c>
      <c r="H8">
        <v>5410468746.2984962</v>
      </c>
      <c r="I8">
        <v>190095630.77889121</v>
      </c>
      <c r="J8">
        <v>-19741126596.748119</v>
      </c>
      <c r="K8">
        <v>-652034228.91041183</v>
      </c>
      <c r="L8">
        <v>10184714835.598021</v>
      </c>
    </row>
    <row r="9" spans="1:12" x14ac:dyDescent="0.3">
      <c r="A9" t="s">
        <v>103</v>
      </c>
      <c r="B9">
        <v>1.8302112E+18</v>
      </c>
      <c r="C9" t="s">
        <v>104</v>
      </c>
      <c r="D9">
        <v>16305729447.96236</v>
      </c>
      <c r="E9">
        <v>0.25632092465138462</v>
      </c>
      <c r="F9">
        <v>4179499649.2170219</v>
      </c>
      <c r="G9">
        <v>3301804722.8814478</v>
      </c>
      <c r="H9">
        <v>5610832583.3160372</v>
      </c>
      <c r="I9">
        <v>197135370.17470339</v>
      </c>
      <c r="J9">
        <v>-20472192250.658329</v>
      </c>
      <c r="K9">
        <v>-731065653.91020966</v>
      </c>
      <c r="L9">
        <v>9446567589.932991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"/>
  <sheetViews>
    <sheetView workbookViewId="0">
      <selection activeCell="M25" sqref="M25"/>
    </sheetView>
  </sheetViews>
  <sheetFormatPr defaultRowHeight="16.5" x14ac:dyDescent="0.3"/>
  <sheetData>
    <row r="1" spans="1:13" x14ac:dyDescent="0.3">
      <c r="A1" s="1" t="s">
        <v>105</v>
      </c>
      <c r="B1" s="1" t="s">
        <v>63</v>
      </c>
      <c r="C1" s="1" t="s">
        <v>83</v>
      </c>
      <c r="D1" s="1" t="s">
        <v>65</v>
      </c>
      <c r="E1" s="1" t="s">
        <v>68</v>
      </c>
      <c r="F1" s="1" t="s">
        <v>66</v>
      </c>
      <c r="G1" s="1" t="s">
        <v>67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106</v>
      </c>
    </row>
    <row r="2" spans="1:13" x14ac:dyDescent="0.3">
      <c r="A2" t="s">
        <v>107</v>
      </c>
      <c r="B2">
        <v>1.6802208E+18</v>
      </c>
      <c r="C2" t="s">
        <v>71</v>
      </c>
      <c r="D2">
        <v>8161503000</v>
      </c>
      <c r="E2">
        <v>0.21004917844176499</v>
      </c>
      <c r="F2">
        <v>1714317000</v>
      </c>
      <c r="G2">
        <v>1354310430</v>
      </c>
      <c r="H2">
        <v>2808388738.9014711</v>
      </c>
      <c r="I2">
        <v>98672121.368235454</v>
      </c>
      <c r="J2">
        <v>-10246941665.722549</v>
      </c>
      <c r="K2">
        <v>-388521096.96680069</v>
      </c>
      <c r="L2">
        <v>4452548144.5000362</v>
      </c>
    </row>
    <row r="3" spans="1:13" x14ac:dyDescent="0.3">
      <c r="A3" t="s">
        <v>107</v>
      </c>
      <c r="B3">
        <v>1.6880832E+18</v>
      </c>
      <c r="C3" t="s">
        <v>72</v>
      </c>
      <c r="D3">
        <v>8187301000</v>
      </c>
      <c r="E3">
        <v>0.2231728136048742</v>
      </c>
      <c r="F3">
        <v>1827183000</v>
      </c>
      <c r="G3">
        <v>1443474570</v>
      </c>
      <c r="H3">
        <v>2817265879.8749151</v>
      </c>
      <c r="I3">
        <v>98984017.766124144</v>
      </c>
      <c r="J3">
        <v>-10279331606.777809</v>
      </c>
      <c r="K3">
        <v>-32389941.055257801</v>
      </c>
      <c r="L3">
        <v>4194146373.1640482</v>
      </c>
    </row>
    <row r="4" spans="1:13" x14ac:dyDescent="0.3">
      <c r="A4" t="s">
        <v>107</v>
      </c>
      <c r="B4">
        <v>1.696032E+18</v>
      </c>
      <c r="C4" t="s">
        <v>73</v>
      </c>
      <c r="D4">
        <v>8541668000</v>
      </c>
      <c r="E4">
        <v>0.2243582869294381</v>
      </c>
      <c r="F4">
        <v>1916394000</v>
      </c>
      <c r="G4">
        <v>1513951260</v>
      </c>
      <c r="H4">
        <v>2939204240.0321431</v>
      </c>
      <c r="I4">
        <v>103268295.2616905</v>
      </c>
      <c r="J4">
        <v>-10724246958.43021</v>
      </c>
      <c r="K4">
        <v>-444915351.65239912</v>
      </c>
      <c r="L4">
        <v>4794802556.4228516</v>
      </c>
    </row>
    <row r="5" spans="1:13" x14ac:dyDescent="0.3">
      <c r="A5" t="s">
        <v>107</v>
      </c>
      <c r="B5">
        <v>1.7039808E+18</v>
      </c>
      <c r="C5" t="s">
        <v>74</v>
      </c>
      <c r="D5">
        <v>8832825000</v>
      </c>
      <c r="E5">
        <v>0.1693805775615389</v>
      </c>
      <c r="F5">
        <v>1496109000</v>
      </c>
      <c r="G5">
        <v>1181926110</v>
      </c>
      <c r="H5">
        <v>3039391918.7050948</v>
      </c>
      <c r="I5">
        <v>106788367.3416997</v>
      </c>
      <c r="J5">
        <v>-11089800802.442369</v>
      </c>
      <c r="K5">
        <v>-365553844.01216131</v>
      </c>
      <c r="L5">
        <v>4480083505.3755569</v>
      </c>
    </row>
    <row r="6" spans="1:13" x14ac:dyDescent="0.3">
      <c r="A6" t="s">
        <v>107</v>
      </c>
      <c r="B6">
        <v>1.7118432E+18</v>
      </c>
      <c r="C6" t="s">
        <v>75</v>
      </c>
      <c r="D6">
        <v>9370440000</v>
      </c>
      <c r="E6">
        <v>0.28094027601692129</v>
      </c>
      <c r="F6">
        <v>2632534000</v>
      </c>
      <c r="G6">
        <v>2079701860</v>
      </c>
      <c r="H6">
        <v>3224386264.9504509</v>
      </c>
      <c r="I6">
        <v>113288103.0557445</v>
      </c>
      <c r="J6">
        <v>-11764787939.44611</v>
      </c>
      <c r="K6">
        <v>-674987137.0037384</v>
      </c>
      <c r="L6">
        <v>5865787158.8984451</v>
      </c>
    </row>
    <row r="7" spans="1:13" x14ac:dyDescent="0.3">
      <c r="A7" t="s">
        <v>107</v>
      </c>
      <c r="B7">
        <v>1.7197056E+18</v>
      </c>
      <c r="C7" t="s">
        <v>76</v>
      </c>
      <c r="D7">
        <v>9559310000</v>
      </c>
      <c r="E7">
        <v>0.27228293673915788</v>
      </c>
      <c r="F7">
        <v>2602837000</v>
      </c>
      <c r="G7">
        <v>2056241230</v>
      </c>
      <c r="H7">
        <v>3289376791.9546471</v>
      </c>
      <c r="I7">
        <v>115571530.94431099</v>
      </c>
      <c r="J7">
        <v>-12001918266.10347</v>
      </c>
      <c r="K7">
        <v>-237130326.65736011</v>
      </c>
      <c r="L7">
        <v>5467176817.667696</v>
      </c>
    </row>
    <row r="8" spans="1:13" x14ac:dyDescent="0.3">
      <c r="A8" t="s">
        <v>107</v>
      </c>
      <c r="B8">
        <v>1.7276544E+18</v>
      </c>
      <c r="C8" t="s">
        <v>77</v>
      </c>
      <c r="D8">
        <v>9824703000</v>
      </c>
      <c r="E8">
        <v>0.29613892654057838</v>
      </c>
      <c r="F8">
        <v>2909477000</v>
      </c>
      <c r="G8">
        <v>2298486830</v>
      </c>
      <c r="H8">
        <v>3380699029.1189628</v>
      </c>
      <c r="I8">
        <v>118780117.6845572</v>
      </c>
      <c r="J8">
        <v>-12335124856.787939</v>
      </c>
      <c r="K8">
        <v>-333206590.68447298</v>
      </c>
      <c r="L8">
        <v>5893612332.1188793</v>
      </c>
    </row>
    <row r="9" spans="1:13" x14ac:dyDescent="0.3">
      <c r="A9" t="s">
        <v>107</v>
      </c>
      <c r="B9">
        <v>1.7356032E+18</v>
      </c>
      <c r="C9" t="s">
        <v>78</v>
      </c>
      <c r="D9">
        <v>10246513000</v>
      </c>
      <c r="E9">
        <v>0.22180872653945791</v>
      </c>
      <c r="F9">
        <v>2272766000</v>
      </c>
      <c r="G9">
        <v>1795485140</v>
      </c>
      <c r="H9">
        <v>3525844654.1289678</v>
      </c>
      <c r="I9">
        <v>123879777.3323372</v>
      </c>
      <c r="J9">
        <v>-12864716338.163179</v>
      </c>
      <c r="K9">
        <v>-529591481.37523651</v>
      </c>
      <c r="L9">
        <v>5727041498.1718664</v>
      </c>
    </row>
    <row r="10" spans="1:13" x14ac:dyDescent="0.3">
      <c r="A10" t="s">
        <v>107</v>
      </c>
      <c r="B10">
        <v>1.7433792E+18</v>
      </c>
      <c r="C10" t="s">
        <v>79</v>
      </c>
      <c r="D10">
        <v>10542801000</v>
      </c>
      <c r="E10">
        <v>0.31746772039043508</v>
      </c>
      <c r="F10">
        <v>3346999000</v>
      </c>
      <c r="G10">
        <v>2644129210</v>
      </c>
      <c r="H10">
        <v>3627797919.6820941</v>
      </c>
      <c r="I10">
        <v>127461882.9195008</v>
      </c>
      <c r="J10">
        <v>-13236712262.474369</v>
      </c>
      <c r="K10">
        <v>-371995924.31119537</v>
      </c>
      <c r="L10">
        <v>6516461171.0737896</v>
      </c>
    </row>
    <row r="11" spans="1:13" x14ac:dyDescent="0.3">
      <c r="A11" t="s">
        <v>107</v>
      </c>
      <c r="B11">
        <v>1.7512416E+18</v>
      </c>
      <c r="C11" t="s">
        <v>80</v>
      </c>
      <c r="D11">
        <v>11079166000</v>
      </c>
      <c r="E11">
        <v>0.34070199868834888</v>
      </c>
      <c r="F11">
        <v>3774694000</v>
      </c>
      <c r="G11">
        <v>2982008260</v>
      </c>
      <c r="H11">
        <v>3812362138.5448322</v>
      </c>
      <c r="I11">
        <v>133946506.2024516</v>
      </c>
      <c r="J11">
        <v>-13910129997.729179</v>
      </c>
      <c r="K11">
        <v>-673417735.2548027</v>
      </c>
      <c r="L11">
        <v>7333841627.5971832</v>
      </c>
    </row>
    <row r="12" spans="1:13" x14ac:dyDescent="0.3">
      <c r="A12" t="s">
        <v>107</v>
      </c>
      <c r="B12">
        <v>1.7591904E+18</v>
      </c>
      <c r="C12" t="s">
        <v>81</v>
      </c>
      <c r="D12">
        <v>11510307000</v>
      </c>
      <c r="E12">
        <v>0.28220333306487833</v>
      </c>
      <c r="F12">
        <v>3248247000</v>
      </c>
      <c r="G12">
        <v>2566115130</v>
      </c>
      <c r="H12">
        <v>3960718578.4406099</v>
      </c>
      <c r="I12">
        <v>139158977.1258615</v>
      </c>
      <c r="J12">
        <v>-14451436749.279881</v>
      </c>
      <c r="K12">
        <v>-541306751.55069923</v>
      </c>
      <c r="L12">
        <v>6928981482.865449</v>
      </c>
    </row>
    <row r="13" spans="1:13" x14ac:dyDescent="0.3">
      <c r="A13" t="s">
        <v>107</v>
      </c>
      <c r="B13">
        <v>1.7671392E+18</v>
      </c>
      <c r="C13" t="s">
        <v>82</v>
      </c>
      <c r="D13">
        <v>12050762000</v>
      </c>
      <c r="E13">
        <v>0.24535070894272079</v>
      </c>
      <c r="F13">
        <v>2956663000</v>
      </c>
      <c r="G13">
        <v>2335763770</v>
      </c>
      <c r="H13">
        <v>4146690174.099277</v>
      </c>
      <c r="I13">
        <v>145693048.28335169</v>
      </c>
      <c r="J13">
        <v>-15129989567.057199</v>
      </c>
      <c r="K13">
        <v>-678552817.77732468</v>
      </c>
      <c r="L13">
        <v>7015313713.5932503</v>
      </c>
    </row>
    <row r="14" spans="1:13" x14ac:dyDescent="0.3">
      <c r="A14" t="s">
        <v>108</v>
      </c>
      <c r="B14">
        <v>1.7749152E+18</v>
      </c>
      <c r="C14" t="s">
        <v>90</v>
      </c>
      <c r="D14">
        <v>12624481032.95738</v>
      </c>
      <c r="E14">
        <v>0.34611189822022981</v>
      </c>
      <c r="F14">
        <v>4369483094.3621635</v>
      </c>
      <c r="G14">
        <v>3451891644.5461102</v>
      </c>
      <c r="H14">
        <v>4344107986.9029894</v>
      </c>
      <c r="I14">
        <v>152629279.76562119</v>
      </c>
      <c r="J14">
        <v>-15850306090.034519</v>
      </c>
      <c r="K14">
        <v>0</v>
      </c>
      <c r="L14">
        <v>7643370351.6834784</v>
      </c>
      <c r="M14" t="s">
        <v>89</v>
      </c>
    </row>
    <row r="15" spans="1:13" x14ac:dyDescent="0.3">
      <c r="A15" t="s">
        <v>108</v>
      </c>
      <c r="B15">
        <v>1.7827776E+18</v>
      </c>
      <c r="C15" t="s">
        <v>92</v>
      </c>
      <c r="D15">
        <v>13072472039.39072</v>
      </c>
      <c r="E15">
        <v>0.33458612083494632</v>
      </c>
      <c r="F15">
        <v>4373867709.3830395</v>
      </c>
      <c r="G15">
        <v>3455355490.412601</v>
      </c>
      <c r="H15">
        <v>4498262546.1301966</v>
      </c>
      <c r="I15">
        <v>158045466.3379558</v>
      </c>
      <c r="J15">
        <v>-16412768385.238091</v>
      </c>
      <c r="K15">
        <v>-562462295.20356369</v>
      </c>
      <c r="L15">
        <v>8358034865.4084063</v>
      </c>
      <c r="M15" t="s">
        <v>91</v>
      </c>
    </row>
    <row r="16" spans="1:13" x14ac:dyDescent="0.3">
      <c r="A16" t="s">
        <v>108</v>
      </c>
      <c r="B16">
        <v>1.7907264E+18</v>
      </c>
      <c r="C16" t="s">
        <v>94</v>
      </c>
      <c r="D16">
        <v>13509863194.27593</v>
      </c>
      <c r="E16">
        <v>0.33093295464572769</v>
      </c>
      <c r="F16">
        <v>4470858943.7413034</v>
      </c>
      <c r="G16">
        <v>3531978565.5556302</v>
      </c>
      <c r="H16">
        <v>4648769676.2353687</v>
      </c>
      <c r="I16">
        <v>163333501.28938901</v>
      </c>
      <c r="J16">
        <v>-16961922339.99518</v>
      </c>
      <c r="K16">
        <v>-549153954.75708961</v>
      </c>
      <c r="L16">
        <v>8566568695.2586994</v>
      </c>
      <c r="M16" t="s">
        <v>93</v>
      </c>
    </row>
    <row r="17" spans="1:13" x14ac:dyDescent="0.3">
      <c r="A17" t="s">
        <v>108</v>
      </c>
      <c r="B17">
        <v>1.7986752E+18</v>
      </c>
      <c r="C17" t="s">
        <v>96</v>
      </c>
      <c r="D17">
        <v>14001339209.224461</v>
      </c>
      <c r="E17">
        <v>0.2432001800240087</v>
      </c>
      <c r="F17">
        <v>3405128216.2605991</v>
      </c>
      <c r="G17">
        <v>2690051290.8458729</v>
      </c>
      <c r="H17">
        <v>4817887509.7792158</v>
      </c>
      <c r="I17">
        <v>169275419.21756679</v>
      </c>
      <c r="J17">
        <v>-17578980993.931751</v>
      </c>
      <c r="K17">
        <v>-617058653.93657303</v>
      </c>
      <c r="L17">
        <v>7955722035.3440962</v>
      </c>
      <c r="M17" t="s">
        <v>95</v>
      </c>
    </row>
    <row r="18" spans="1:13" x14ac:dyDescent="0.3">
      <c r="A18" t="s">
        <v>108</v>
      </c>
      <c r="B18">
        <v>1.8064512E+18</v>
      </c>
      <c r="C18" t="s">
        <v>98</v>
      </c>
      <c r="D18">
        <v>14674038835.98464</v>
      </c>
      <c r="E18">
        <v>0.36333121732988749</v>
      </c>
      <c r="F18">
        <v>5331536393.4243441</v>
      </c>
      <c r="G18">
        <v>4211913750.805232</v>
      </c>
      <c r="H18">
        <v>5049364733.5769062</v>
      </c>
      <c r="I18">
        <v>177408320.62262031</v>
      </c>
      <c r="J18">
        <v>-18423569770.529018</v>
      </c>
      <c r="K18">
        <v>-844588776.59726715</v>
      </c>
      <c r="L18">
        <v>9928458940.3567848</v>
      </c>
      <c r="M18" t="s">
        <v>97</v>
      </c>
    </row>
    <row r="19" spans="1:13" x14ac:dyDescent="0.3">
      <c r="A19" t="s">
        <v>108</v>
      </c>
      <c r="B19">
        <v>1.8143136E+18</v>
      </c>
      <c r="C19" t="s">
        <v>100</v>
      </c>
      <c r="D19">
        <v>15204115501.949499</v>
      </c>
      <c r="E19">
        <v>0.35093956236530199</v>
      </c>
      <c r="F19">
        <v>5335725640.4056625</v>
      </c>
      <c r="G19">
        <v>4215223255.9204741</v>
      </c>
      <c r="H19">
        <v>5231765124.7119884</v>
      </c>
      <c r="I19">
        <v>183816918.2937299</v>
      </c>
      <c r="J19">
        <v>-19089092367.8377</v>
      </c>
      <c r="K19">
        <v>-665522597.3086853</v>
      </c>
      <c r="L19">
        <v>9928694059.6474171</v>
      </c>
      <c r="M19" t="s">
        <v>99</v>
      </c>
    </row>
    <row r="20" spans="1:13" x14ac:dyDescent="0.3">
      <c r="A20" t="s">
        <v>108</v>
      </c>
      <c r="B20">
        <v>1.8222624E+18</v>
      </c>
      <c r="C20" t="s">
        <v>102</v>
      </c>
      <c r="D20">
        <v>15723448927.371099</v>
      </c>
      <c r="E20">
        <v>0.34716410519358681</v>
      </c>
      <c r="F20">
        <v>5458617077.4278507</v>
      </c>
      <c r="G20">
        <v>4312307491.1680021</v>
      </c>
      <c r="H20">
        <v>5410468746.2984962</v>
      </c>
      <c r="I20">
        <v>190095630.77889121</v>
      </c>
      <c r="J20">
        <v>-19741126596.748119</v>
      </c>
      <c r="K20">
        <v>-652034228.91041183</v>
      </c>
      <c r="L20">
        <v>10184714835.598021</v>
      </c>
      <c r="M20" t="s">
        <v>101</v>
      </c>
    </row>
    <row r="21" spans="1:13" x14ac:dyDescent="0.3">
      <c r="A21" t="s">
        <v>108</v>
      </c>
      <c r="B21">
        <v>1.8302112E+18</v>
      </c>
      <c r="C21" t="s">
        <v>104</v>
      </c>
      <c r="D21">
        <v>16305729447.96236</v>
      </c>
      <c r="E21">
        <v>0.25632092465138462</v>
      </c>
      <c r="F21">
        <v>4179499649.2170219</v>
      </c>
      <c r="G21">
        <v>3301804722.8814478</v>
      </c>
      <c r="H21">
        <v>5610832583.3160372</v>
      </c>
      <c r="I21">
        <v>197135370.17470339</v>
      </c>
      <c r="J21">
        <v>-20472192250.658329</v>
      </c>
      <c r="K21">
        <v>-731065653.91020966</v>
      </c>
      <c r="L21">
        <v>9446567589.932991</v>
      </c>
      <c r="M21" t="s">
        <v>103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8"/>
  <sheetViews>
    <sheetView workbookViewId="0">
      <selection activeCell="F18" sqref="F18:F21"/>
    </sheetView>
  </sheetViews>
  <sheetFormatPr defaultRowHeight="16.5" x14ac:dyDescent="0.3"/>
  <cols>
    <col min="1" max="1" width="22.5" bestFit="1" customWidth="1"/>
    <col min="2" max="2" width="13.125" bestFit="1" customWidth="1"/>
  </cols>
  <sheetData>
    <row r="1" spans="1:2" x14ac:dyDescent="0.3">
      <c r="A1" s="1" t="s">
        <v>109</v>
      </c>
      <c r="B1" s="1" t="s">
        <v>21</v>
      </c>
    </row>
    <row r="2" spans="1:2" x14ac:dyDescent="0.3">
      <c r="A2" t="s">
        <v>110</v>
      </c>
      <c r="B2" t="s">
        <v>42</v>
      </c>
    </row>
    <row r="3" spans="1:2" x14ac:dyDescent="0.3">
      <c r="A3" t="s">
        <v>111</v>
      </c>
      <c r="B3">
        <v>0.13704286502601201</v>
      </c>
    </row>
    <row r="4" spans="1:2" x14ac:dyDescent="0.3">
      <c r="A4" t="s">
        <v>112</v>
      </c>
      <c r="B4">
        <v>0.04</v>
      </c>
    </row>
    <row r="5" spans="1:2" x14ac:dyDescent="0.3">
      <c r="A5" t="s">
        <v>113</v>
      </c>
      <c r="B5">
        <v>280.24393921141223</v>
      </c>
    </row>
    <row r="6" spans="1:2" x14ac:dyDescent="0.3">
      <c r="A6" t="s">
        <v>114</v>
      </c>
      <c r="B6">
        <v>171.65949904169469</v>
      </c>
    </row>
    <row r="7" spans="1:2" x14ac:dyDescent="0.3">
      <c r="A7" t="s">
        <v>115</v>
      </c>
      <c r="B7">
        <v>0.83233996579500658</v>
      </c>
    </row>
    <row r="8" spans="1:2" x14ac:dyDescent="0.3">
      <c r="A8" t="s">
        <v>116</v>
      </c>
      <c r="B8">
        <v>0.43034760310053088</v>
      </c>
    </row>
    <row r="9" spans="1:2" x14ac:dyDescent="0.3">
      <c r="A9" t="s">
        <v>117</v>
      </c>
      <c r="B9">
        <v>15</v>
      </c>
    </row>
    <row r="10" spans="1:2" x14ac:dyDescent="0.3">
      <c r="A10" t="s">
        <v>118</v>
      </c>
      <c r="B10" t="s">
        <v>119</v>
      </c>
    </row>
    <row r="11" spans="1:2" x14ac:dyDescent="0.3">
      <c r="A11" t="s">
        <v>120</v>
      </c>
      <c r="B11">
        <v>787174588927.76624</v>
      </c>
    </row>
    <row r="12" spans="1:2" x14ac:dyDescent="0.3">
      <c r="A12" t="s">
        <v>121</v>
      </c>
      <c r="B12">
        <v>428108006775.14691</v>
      </c>
    </row>
    <row r="13" spans="1:2" x14ac:dyDescent="0.3">
      <c r="A13" t="s">
        <v>122</v>
      </c>
      <c r="B13">
        <v>1215282595702.9131</v>
      </c>
    </row>
    <row r="14" spans="1:2" x14ac:dyDescent="0.3">
      <c r="A14" t="s">
        <v>123</v>
      </c>
      <c r="B14">
        <v>354560095380.99109</v>
      </c>
    </row>
    <row r="15" spans="1:2" x14ac:dyDescent="0.3">
      <c r="A15" t="s">
        <v>124</v>
      </c>
      <c r="B15">
        <v>3799789908278.0649</v>
      </c>
    </row>
    <row r="16" spans="1:2" x14ac:dyDescent="0.3">
      <c r="A16" t="s">
        <v>125</v>
      </c>
      <c r="B16">
        <v>17</v>
      </c>
    </row>
    <row r="17" spans="1:2" x14ac:dyDescent="0.3">
      <c r="A17" t="s">
        <v>126</v>
      </c>
      <c r="B17">
        <v>32523695947.694679</v>
      </c>
    </row>
    <row r="18" spans="1:2" x14ac:dyDescent="0.3">
      <c r="A18" t="s">
        <v>127</v>
      </c>
      <c r="B18">
        <v>39488435425.535217</v>
      </c>
    </row>
    <row r="19" spans="1:2" x14ac:dyDescent="0.3">
      <c r="A19" t="s">
        <v>128</v>
      </c>
      <c r="B19">
        <v>53897840959.425507</v>
      </c>
    </row>
    <row r="20" spans="1:2" x14ac:dyDescent="0.3">
      <c r="A20" t="s">
        <v>129</v>
      </c>
      <c r="B20">
        <v>70629285485.413589</v>
      </c>
    </row>
    <row r="21" spans="1:2" x14ac:dyDescent="0.3">
      <c r="A21" t="s">
        <v>130</v>
      </c>
      <c r="B21">
        <v>89352313480.654221</v>
      </c>
    </row>
    <row r="22" spans="1:2" x14ac:dyDescent="0.3">
      <c r="A22" t="s">
        <v>131</v>
      </c>
      <c r="B22">
        <v>109666593277.6748</v>
      </c>
    </row>
    <row r="23" spans="1:2" x14ac:dyDescent="0.3">
      <c r="A23" t="s">
        <v>132</v>
      </c>
      <c r="B23">
        <v>131154576121.8138</v>
      </c>
    </row>
    <row r="24" spans="1:2" x14ac:dyDescent="0.3">
      <c r="A24" t="s">
        <v>133</v>
      </c>
      <c r="B24">
        <v>153423890704.08911</v>
      </c>
    </row>
    <row r="25" spans="1:2" x14ac:dyDescent="0.3">
      <c r="A25" t="s">
        <v>134</v>
      </c>
      <c r="B25">
        <v>176135701681.845</v>
      </c>
    </row>
    <row r="26" spans="1:2" x14ac:dyDescent="0.3">
      <c r="A26" t="s">
        <v>135</v>
      </c>
      <c r="B26">
        <v>199019295994.0704</v>
      </c>
    </row>
    <row r="27" spans="1:2" x14ac:dyDescent="0.3">
      <c r="A27" t="s">
        <v>136</v>
      </c>
      <c r="B27">
        <v>221875511292.26941</v>
      </c>
    </row>
    <row r="28" spans="1:2" x14ac:dyDescent="0.3">
      <c r="A28" t="s">
        <v>137</v>
      </c>
      <c r="B28">
        <v>244572451622.11621</v>
      </c>
    </row>
    <row r="29" spans="1:2" x14ac:dyDescent="0.3">
      <c r="A29" t="s">
        <v>138</v>
      </c>
      <c r="B29">
        <v>267036752135.7402</v>
      </c>
    </row>
    <row r="30" spans="1:2" x14ac:dyDescent="0.3">
      <c r="A30" t="s">
        <v>139</v>
      </c>
      <c r="B30">
        <v>289242972765.71973</v>
      </c>
    </row>
    <row r="31" spans="1:2" x14ac:dyDescent="0.3">
      <c r="A31" t="s">
        <v>140</v>
      </c>
      <c r="B31">
        <v>311202895360.33118</v>
      </c>
    </row>
    <row r="32" spans="1:2" x14ac:dyDescent="0.3">
      <c r="A32" t="s">
        <v>141</v>
      </c>
      <c r="B32">
        <v>332955780737.40973</v>
      </c>
    </row>
    <row r="33" spans="1:2" x14ac:dyDescent="0.3">
      <c r="A33" t="s">
        <v>142</v>
      </c>
      <c r="B33">
        <v>354560095380.99109</v>
      </c>
    </row>
    <row r="34" spans="1:2" x14ac:dyDescent="0.3">
      <c r="A34" t="s">
        <v>143</v>
      </c>
      <c r="B34">
        <v>0.36490191061285859</v>
      </c>
    </row>
    <row r="35" spans="1:2" x14ac:dyDescent="0.3">
      <c r="A35" t="s">
        <v>144</v>
      </c>
      <c r="B35">
        <v>0.31042884516623898</v>
      </c>
    </row>
    <row r="36" spans="1:2" x14ac:dyDescent="0.3">
      <c r="A36" t="s">
        <v>145</v>
      </c>
      <c r="B36">
        <v>0.26508873573565062</v>
      </c>
    </row>
    <row r="37" spans="1:2" x14ac:dyDescent="0.3">
      <c r="A37" t="s">
        <v>146</v>
      </c>
      <c r="B37">
        <v>0.2273503506030527</v>
      </c>
    </row>
    <row r="38" spans="1:2" x14ac:dyDescent="0.3">
      <c r="A38" t="s">
        <v>147</v>
      </c>
      <c r="B38">
        <v>0.19593918441262731</v>
      </c>
    </row>
    <row r="39" spans="1:2" x14ac:dyDescent="0.3">
      <c r="A39" t="s">
        <v>148</v>
      </c>
      <c r="B39">
        <v>0.16979441542010751</v>
      </c>
    </row>
    <row r="40" spans="1:2" x14ac:dyDescent="0.3">
      <c r="A40" t="s">
        <v>149</v>
      </c>
      <c r="B40">
        <v>0.14803307929115511</v>
      </c>
    </row>
    <row r="41" spans="1:2" x14ac:dyDescent="0.3">
      <c r="A41" t="s">
        <v>150</v>
      </c>
      <c r="B41">
        <v>0.12992024952192929</v>
      </c>
    </row>
    <row r="42" spans="1:2" x14ac:dyDescent="0.3">
      <c r="A42" t="s">
        <v>151</v>
      </c>
      <c r="B42">
        <v>0.1148442174113611</v>
      </c>
    </row>
    <row r="43" spans="1:2" x14ac:dyDescent="0.3">
      <c r="A43" t="s">
        <v>152</v>
      </c>
      <c r="B43">
        <v>0.10229583336012631</v>
      </c>
    </row>
    <row r="44" spans="1:2" x14ac:dyDescent="0.3">
      <c r="A44" t="s">
        <v>153</v>
      </c>
      <c r="B44">
        <v>9.185131180813895E-2</v>
      </c>
    </row>
    <row r="45" spans="1:2" x14ac:dyDescent="0.3">
      <c r="A45" t="s">
        <v>154</v>
      </c>
      <c r="B45">
        <v>8.3157919096812596E-2</v>
      </c>
    </row>
    <row r="46" spans="1:2" x14ac:dyDescent="0.3">
      <c r="A46" t="s">
        <v>155</v>
      </c>
      <c r="B46">
        <v>7.5922060904824659E-2</v>
      </c>
    </row>
    <row r="47" spans="1:2" x14ac:dyDescent="0.3">
      <c r="A47" t="s">
        <v>156</v>
      </c>
      <c r="B47">
        <v>6.9899366944807903E-2</v>
      </c>
    </row>
    <row r="48" spans="1:2" x14ac:dyDescent="0.3">
      <c r="A48" t="s">
        <v>157</v>
      </c>
      <c r="B48">
        <v>6.4886438060133764E-2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6"/>
  <sheetViews>
    <sheetView workbookViewId="0">
      <selection activeCell="D28" sqref="D28"/>
    </sheetView>
  </sheetViews>
  <sheetFormatPr defaultRowHeight="16.5" x14ac:dyDescent="0.3"/>
  <cols>
    <col min="1" max="1" width="16.875" bestFit="1" customWidth="1"/>
    <col min="2" max="2" width="14.625" bestFit="1" customWidth="1"/>
  </cols>
  <sheetData>
    <row r="1" spans="1:3" x14ac:dyDescent="0.3">
      <c r="A1" s="1" t="s">
        <v>158</v>
      </c>
      <c r="B1" s="1" t="s">
        <v>109</v>
      </c>
      <c r="C1" s="1" t="s">
        <v>21</v>
      </c>
    </row>
    <row r="2" spans="1:3" x14ac:dyDescent="0.3">
      <c r="A2" t="s">
        <v>159</v>
      </c>
      <c r="B2" t="s">
        <v>160</v>
      </c>
      <c r="C2">
        <v>53208155475.84848</v>
      </c>
    </row>
    <row r="3" spans="1:3" x14ac:dyDescent="0.3">
      <c r="A3" t="s">
        <v>159</v>
      </c>
      <c r="B3" t="s">
        <v>161</v>
      </c>
      <c r="C3">
        <v>61907332713.267601</v>
      </c>
    </row>
    <row r="4" spans="1:3" x14ac:dyDescent="0.3">
      <c r="A4" t="s">
        <v>159</v>
      </c>
      <c r="B4" t="s">
        <v>162</v>
      </c>
      <c r="C4">
        <v>0.28260327666757912</v>
      </c>
    </row>
    <row r="5" spans="1:3" x14ac:dyDescent="0.3">
      <c r="A5" t="s">
        <v>159</v>
      </c>
      <c r="B5" t="s">
        <v>163</v>
      </c>
      <c r="C5">
        <v>0.28260327666757912</v>
      </c>
    </row>
    <row r="6" spans="1:3" x14ac:dyDescent="0.3">
      <c r="A6" t="s">
        <v>159</v>
      </c>
      <c r="B6" t="s">
        <v>164</v>
      </c>
      <c r="C6">
        <v>0.65059575960934724</v>
      </c>
    </row>
    <row r="7" spans="1:3" x14ac:dyDescent="0.3">
      <c r="A7" t="s">
        <v>159</v>
      </c>
      <c r="B7" t="s">
        <v>165</v>
      </c>
      <c r="C7">
        <v>0.65059575960934724</v>
      </c>
    </row>
    <row r="8" spans="1:3" x14ac:dyDescent="0.3">
      <c r="A8" t="s">
        <v>159</v>
      </c>
      <c r="B8" t="s">
        <v>166</v>
      </c>
      <c r="C8">
        <v>3.3320210167457178</v>
      </c>
    </row>
    <row r="9" spans="1:3" x14ac:dyDescent="0.3">
      <c r="A9" t="s">
        <v>159</v>
      </c>
      <c r="B9" t="s">
        <v>167</v>
      </c>
      <c r="C9">
        <v>3.3320210167457178</v>
      </c>
    </row>
    <row r="10" spans="1:3" x14ac:dyDescent="0.3">
      <c r="A10" t="s">
        <v>159</v>
      </c>
      <c r="B10" t="s">
        <v>61</v>
      </c>
      <c r="C10">
        <v>0.61262702833008353</v>
      </c>
    </row>
    <row r="11" spans="1:3" x14ac:dyDescent="0.3">
      <c r="A11" t="s">
        <v>159</v>
      </c>
      <c r="B11" t="s">
        <v>62</v>
      </c>
      <c r="C11">
        <v>0.61262702833008353</v>
      </c>
    </row>
    <row r="12" spans="1:3" x14ac:dyDescent="0.3">
      <c r="A12" t="s">
        <v>168</v>
      </c>
      <c r="B12" t="s">
        <v>169</v>
      </c>
      <c r="C12">
        <v>0.9</v>
      </c>
    </row>
    <row r="13" spans="1:3" x14ac:dyDescent="0.3">
      <c r="A13" t="s">
        <v>168</v>
      </c>
      <c r="B13" t="s">
        <v>170</v>
      </c>
      <c r="C13">
        <v>0.93300000000000005</v>
      </c>
    </row>
    <row r="14" spans="1:3" x14ac:dyDescent="0.3">
      <c r="A14" t="s">
        <v>168</v>
      </c>
      <c r="B14" t="s">
        <v>171</v>
      </c>
      <c r="C14">
        <v>0.9</v>
      </c>
    </row>
    <row r="15" spans="1:3" x14ac:dyDescent="0.3">
      <c r="A15" t="s">
        <v>168</v>
      </c>
      <c r="B15" t="s">
        <v>172</v>
      </c>
      <c r="C15">
        <v>0.91979999999999995</v>
      </c>
    </row>
    <row r="16" spans="1:3" x14ac:dyDescent="0.3">
      <c r="A16" t="s">
        <v>168</v>
      </c>
      <c r="B16" t="s">
        <v>57</v>
      </c>
      <c r="C16">
        <v>8.4588999999999998E-2</v>
      </c>
    </row>
    <row r="17" spans="1:4" x14ac:dyDescent="0.3">
      <c r="A17" t="s">
        <v>168</v>
      </c>
      <c r="B17" t="s">
        <v>58</v>
      </c>
      <c r="C17">
        <v>9.5588999999999993E-2</v>
      </c>
    </row>
    <row r="18" spans="1:4" x14ac:dyDescent="0.3">
      <c r="A18" t="s">
        <v>168</v>
      </c>
      <c r="B18" t="s">
        <v>59</v>
      </c>
      <c r="C18">
        <v>0.106589</v>
      </c>
    </row>
    <row r="19" spans="1:4" x14ac:dyDescent="0.3">
      <c r="A19" t="s">
        <v>168</v>
      </c>
      <c r="B19" t="s">
        <v>60</v>
      </c>
      <c r="C19">
        <v>0.04</v>
      </c>
    </row>
    <row r="20" spans="1:4" x14ac:dyDescent="0.3">
      <c r="A20" t="s">
        <v>168</v>
      </c>
      <c r="B20" t="s">
        <v>54</v>
      </c>
      <c r="C20">
        <v>10.30108525661702</v>
      </c>
    </row>
    <row r="21" spans="1:4" x14ac:dyDescent="0.3">
      <c r="A21" t="s">
        <v>168</v>
      </c>
      <c r="B21" t="s">
        <v>55</v>
      </c>
      <c r="C21">
        <v>16.814611142273659</v>
      </c>
      <c r="D21">
        <f>4.01*C21</f>
        <v>67.426590680517364</v>
      </c>
    </row>
    <row r="22" spans="1:4" x14ac:dyDescent="0.3">
      <c r="A22" t="s">
        <v>168</v>
      </c>
      <c r="B22" t="s">
        <v>56</v>
      </c>
      <c r="C22">
        <v>1.33655424435752</v>
      </c>
    </row>
    <row r="23" spans="1:4" x14ac:dyDescent="0.3">
      <c r="A23" t="s">
        <v>168</v>
      </c>
      <c r="B23" t="s">
        <v>51</v>
      </c>
      <c r="C23">
        <v>12.64516432567267</v>
      </c>
    </row>
    <row r="24" spans="1:4" x14ac:dyDescent="0.3">
      <c r="A24" t="s">
        <v>168</v>
      </c>
      <c r="B24" t="s">
        <v>52</v>
      </c>
      <c r="C24">
        <v>25.41889319712838</v>
      </c>
    </row>
    <row r="25" spans="1:4" x14ac:dyDescent="0.3">
      <c r="A25" t="s">
        <v>168</v>
      </c>
      <c r="B25" t="s">
        <v>53</v>
      </c>
      <c r="C25">
        <v>7.1834625067717166</v>
      </c>
    </row>
    <row r="26" spans="1:4" x14ac:dyDescent="0.3">
      <c r="A26" t="s">
        <v>168</v>
      </c>
      <c r="B26" t="s">
        <v>43</v>
      </c>
      <c r="C26">
        <v>184.39633659119201</v>
      </c>
    </row>
    <row r="27" spans="1:4" x14ac:dyDescent="0.3">
      <c r="A27" t="s">
        <v>168</v>
      </c>
      <c r="B27" t="s">
        <v>44</v>
      </c>
      <c r="C27">
        <v>149.7352238971576</v>
      </c>
      <c r="D27">
        <f>(C27/C21)</f>
        <v>8.9050661136437395</v>
      </c>
    </row>
    <row r="28" spans="1:4" x14ac:dyDescent="0.3">
      <c r="A28" t="s">
        <v>168</v>
      </c>
      <c r="B28" t="s">
        <v>45</v>
      </c>
      <c r="C28">
        <v>44.58338936279825</v>
      </c>
    </row>
    <row r="29" spans="1:4" x14ac:dyDescent="0.3">
      <c r="A29" t="s">
        <v>168</v>
      </c>
      <c r="B29" t="s">
        <v>46</v>
      </c>
      <c r="C29">
        <v>126.23831661704931</v>
      </c>
    </row>
    <row r="30" spans="1:4" x14ac:dyDescent="0.3">
      <c r="A30" t="s">
        <v>168</v>
      </c>
      <c r="B30" t="s">
        <v>47</v>
      </c>
      <c r="C30">
        <v>-18.537355535163869</v>
      </c>
    </row>
    <row r="31" spans="1:4" x14ac:dyDescent="0.3">
      <c r="A31" t="s">
        <v>168</v>
      </c>
      <c r="B31" t="s">
        <v>48</v>
      </c>
      <c r="C31">
        <v>-33.849947706719057</v>
      </c>
    </row>
    <row r="32" spans="1:4" x14ac:dyDescent="0.3">
      <c r="A32" t="s">
        <v>168</v>
      </c>
      <c r="B32" t="s">
        <v>49</v>
      </c>
      <c r="C32">
        <v>-81.394010992643516</v>
      </c>
    </row>
    <row r="33" spans="1:4" x14ac:dyDescent="0.3">
      <c r="A33" t="s">
        <v>168</v>
      </c>
      <c r="B33" t="s">
        <v>50</v>
      </c>
      <c r="C33">
        <v>22.54957442680254</v>
      </c>
    </row>
    <row r="36" spans="1:4" x14ac:dyDescent="0.3">
      <c r="D36">
        <f>(184-103.16)/103.16</f>
        <v>0.78363706863125249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D4" sqref="D4"/>
    </sheetView>
  </sheetViews>
  <sheetFormatPr defaultRowHeight="16.5" x14ac:dyDescent="0.3"/>
  <sheetData>
    <row r="1" spans="1:3" x14ac:dyDescent="0.3">
      <c r="A1" s="1" t="s">
        <v>173</v>
      </c>
      <c r="B1" s="1" t="s">
        <v>174</v>
      </c>
      <c r="C1" s="1" t="s">
        <v>175</v>
      </c>
    </row>
    <row r="2" spans="1:3" x14ac:dyDescent="0.3">
      <c r="A2" t="s">
        <v>176</v>
      </c>
      <c r="B2">
        <v>103.16</v>
      </c>
    </row>
    <row r="3" spans="1:3" x14ac:dyDescent="0.3">
      <c r="A3" t="s">
        <v>177</v>
      </c>
      <c r="B3">
        <v>280.24393921141223</v>
      </c>
      <c r="C3">
        <v>171.65949904169469</v>
      </c>
    </row>
    <row r="4" spans="1:3" x14ac:dyDescent="0.3">
      <c r="A4" t="s">
        <v>178</v>
      </c>
      <c r="B4">
        <v>184.39633659119201</v>
      </c>
      <c r="C4">
        <v>78.747902860791058</v>
      </c>
    </row>
    <row r="5" spans="1:3" x14ac:dyDescent="0.3">
      <c r="A5" t="s">
        <v>179</v>
      </c>
      <c r="B5">
        <v>149.7352238971576</v>
      </c>
      <c r="C5">
        <v>45.148530338462223</v>
      </c>
    </row>
    <row r="6" spans="1:3" x14ac:dyDescent="0.3">
      <c r="A6" t="s">
        <v>180</v>
      </c>
      <c r="B6">
        <v>44.58338936279825</v>
      </c>
      <c r="C6">
        <v>-56.782290264833023</v>
      </c>
    </row>
    <row r="7" spans="1:3" x14ac:dyDescent="0.3">
      <c r="A7" t="s">
        <v>181</v>
      </c>
      <c r="B7">
        <v>126.23831661704931</v>
      </c>
      <c r="C7">
        <v>22.371380978140088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1"/>
  <sheetViews>
    <sheetView workbookViewId="0">
      <selection activeCell="J21" sqref="J21"/>
    </sheetView>
  </sheetViews>
  <sheetFormatPr defaultRowHeight="16.5" x14ac:dyDescent="0.3"/>
  <sheetData>
    <row r="1" spans="1:13" x14ac:dyDescent="0.3">
      <c r="A1" s="1" t="s">
        <v>182</v>
      </c>
      <c r="B1" s="1" t="s">
        <v>63</v>
      </c>
      <c r="C1" s="1" t="s">
        <v>83</v>
      </c>
      <c r="D1" s="1" t="s">
        <v>65</v>
      </c>
      <c r="E1" s="1" t="s">
        <v>68</v>
      </c>
      <c r="F1" s="1" t="s">
        <v>66</v>
      </c>
      <c r="G1" s="1" t="s">
        <v>67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106</v>
      </c>
    </row>
    <row r="2" spans="1:13" x14ac:dyDescent="0.3">
      <c r="A2" t="s">
        <v>107</v>
      </c>
      <c r="B2">
        <v>1.6802208E+18</v>
      </c>
      <c r="C2" t="s">
        <v>71</v>
      </c>
      <c r="D2">
        <v>8161503000</v>
      </c>
      <c r="E2">
        <v>0.21004917844176499</v>
      </c>
      <c r="F2">
        <v>1714317000</v>
      </c>
      <c r="G2">
        <v>1354310430</v>
      </c>
      <c r="H2">
        <v>2808388738.9014711</v>
      </c>
      <c r="I2">
        <v>98672121.368235454</v>
      </c>
      <c r="J2">
        <v>-10246941665.722549</v>
      </c>
      <c r="K2">
        <v>-388521096.96680069</v>
      </c>
      <c r="L2">
        <v>4452548144.5000362</v>
      </c>
    </row>
    <row r="3" spans="1:13" x14ac:dyDescent="0.3">
      <c r="A3" t="s">
        <v>107</v>
      </c>
      <c r="B3">
        <v>1.6880832E+18</v>
      </c>
      <c r="C3" t="s">
        <v>72</v>
      </c>
      <c r="D3">
        <v>8187301000</v>
      </c>
      <c r="E3">
        <v>0.2231728136048742</v>
      </c>
      <c r="F3">
        <v>1827183000</v>
      </c>
      <c r="G3">
        <v>1443474570</v>
      </c>
      <c r="H3">
        <v>2817265879.8749151</v>
      </c>
      <c r="I3">
        <v>98984017.766124144</v>
      </c>
      <c r="J3">
        <v>-10279331606.777809</v>
      </c>
      <c r="K3">
        <v>-32389941.055257801</v>
      </c>
      <c r="L3">
        <v>4194146373.1640482</v>
      </c>
    </row>
    <row r="4" spans="1:13" x14ac:dyDescent="0.3">
      <c r="A4" t="s">
        <v>107</v>
      </c>
      <c r="B4">
        <v>1.696032E+18</v>
      </c>
      <c r="C4" t="s">
        <v>73</v>
      </c>
      <c r="D4">
        <v>8541668000</v>
      </c>
      <c r="E4">
        <v>0.2243582869294381</v>
      </c>
      <c r="F4">
        <v>1916394000</v>
      </c>
      <c r="G4">
        <v>1513951260</v>
      </c>
      <c r="H4">
        <v>2939204240.0321431</v>
      </c>
      <c r="I4">
        <v>103268295.2616905</v>
      </c>
      <c r="J4">
        <v>-10724246958.43021</v>
      </c>
      <c r="K4">
        <v>-444915351.65239912</v>
      </c>
      <c r="L4">
        <v>4794802556.4228516</v>
      </c>
    </row>
    <row r="5" spans="1:13" x14ac:dyDescent="0.3">
      <c r="A5" t="s">
        <v>107</v>
      </c>
      <c r="B5">
        <v>1.7039808E+18</v>
      </c>
      <c r="C5" t="s">
        <v>74</v>
      </c>
      <c r="D5">
        <v>8832825000</v>
      </c>
      <c r="E5">
        <v>0.1693805775615389</v>
      </c>
      <c r="F5">
        <v>1496109000</v>
      </c>
      <c r="G5">
        <v>1181926110</v>
      </c>
      <c r="H5">
        <v>3039391918.7050948</v>
      </c>
      <c r="I5">
        <v>106788367.3416997</v>
      </c>
      <c r="J5">
        <v>-11089800802.442369</v>
      </c>
      <c r="K5">
        <v>-365553844.01216131</v>
      </c>
      <c r="L5">
        <v>4480083505.3755569</v>
      </c>
    </row>
    <row r="6" spans="1:13" x14ac:dyDescent="0.3">
      <c r="A6" t="s">
        <v>107</v>
      </c>
      <c r="B6">
        <v>1.7118432E+18</v>
      </c>
      <c r="C6" t="s">
        <v>75</v>
      </c>
      <c r="D6">
        <v>9370440000</v>
      </c>
      <c r="E6">
        <v>0.28094027601692129</v>
      </c>
      <c r="F6">
        <v>2632534000</v>
      </c>
      <c r="G6">
        <v>2079701860</v>
      </c>
      <c r="H6">
        <v>3224386264.9504509</v>
      </c>
      <c r="I6">
        <v>113288103.0557445</v>
      </c>
      <c r="J6">
        <v>-11764787939.44611</v>
      </c>
      <c r="K6">
        <v>-674987137.0037384</v>
      </c>
      <c r="L6">
        <v>5865787158.8984451</v>
      </c>
    </row>
    <row r="7" spans="1:13" x14ac:dyDescent="0.3">
      <c r="A7" t="s">
        <v>107</v>
      </c>
      <c r="B7">
        <v>1.7197056E+18</v>
      </c>
      <c r="C7" t="s">
        <v>76</v>
      </c>
      <c r="D7">
        <v>9559310000</v>
      </c>
      <c r="E7">
        <v>0.27228293673915788</v>
      </c>
      <c r="F7">
        <v>2602837000</v>
      </c>
      <c r="G7">
        <v>2056241230</v>
      </c>
      <c r="H7">
        <v>3289376791.9546471</v>
      </c>
      <c r="I7">
        <v>115571530.94431099</v>
      </c>
      <c r="J7">
        <v>-12001918266.10347</v>
      </c>
      <c r="K7">
        <v>-237130326.65736011</v>
      </c>
      <c r="L7">
        <v>5467176817.667696</v>
      </c>
    </row>
    <row r="8" spans="1:13" x14ac:dyDescent="0.3">
      <c r="A8" t="s">
        <v>107</v>
      </c>
      <c r="B8">
        <v>1.7276544E+18</v>
      </c>
      <c r="C8" t="s">
        <v>77</v>
      </c>
      <c r="D8">
        <v>9824703000</v>
      </c>
      <c r="E8">
        <v>0.29613892654057838</v>
      </c>
      <c r="F8">
        <v>2909477000</v>
      </c>
      <c r="G8">
        <v>2298486830</v>
      </c>
      <c r="H8">
        <v>3380699029.1189628</v>
      </c>
      <c r="I8">
        <v>118780117.6845572</v>
      </c>
      <c r="J8">
        <v>-12335124856.787939</v>
      </c>
      <c r="K8">
        <v>-333206590.68447298</v>
      </c>
      <c r="L8">
        <v>5893612332.1188793</v>
      </c>
    </row>
    <row r="9" spans="1:13" x14ac:dyDescent="0.3">
      <c r="A9" t="s">
        <v>107</v>
      </c>
      <c r="B9">
        <v>1.7356032E+18</v>
      </c>
      <c r="C9" t="s">
        <v>78</v>
      </c>
      <c r="D9">
        <v>10246513000</v>
      </c>
      <c r="E9">
        <v>0.22180872653945791</v>
      </c>
      <c r="F9">
        <v>2272766000</v>
      </c>
      <c r="G9">
        <v>1795485140</v>
      </c>
      <c r="H9">
        <v>3525844654.1289678</v>
      </c>
      <c r="I9">
        <v>123879777.3323372</v>
      </c>
      <c r="J9">
        <v>-12864716338.163179</v>
      </c>
      <c r="K9">
        <v>-529591481.37523651</v>
      </c>
      <c r="L9">
        <v>5727041498.1718664</v>
      </c>
    </row>
    <row r="10" spans="1:13" x14ac:dyDescent="0.3">
      <c r="A10" t="s">
        <v>107</v>
      </c>
      <c r="B10">
        <v>1.7433792E+18</v>
      </c>
      <c r="C10" t="s">
        <v>79</v>
      </c>
      <c r="D10">
        <v>10542801000</v>
      </c>
      <c r="E10">
        <v>0.31746772039043508</v>
      </c>
      <c r="F10">
        <v>3346999000</v>
      </c>
      <c r="G10">
        <v>2644129210</v>
      </c>
      <c r="H10">
        <v>3627797919.6820941</v>
      </c>
      <c r="I10">
        <v>127461882.9195008</v>
      </c>
      <c r="J10">
        <v>-13236712262.474369</v>
      </c>
      <c r="K10">
        <v>-371995924.31119537</v>
      </c>
      <c r="L10">
        <v>6516461171.0737896</v>
      </c>
    </row>
    <row r="11" spans="1:13" x14ac:dyDescent="0.3">
      <c r="A11" t="s">
        <v>107</v>
      </c>
      <c r="B11">
        <v>1.7512416E+18</v>
      </c>
      <c r="C11" t="s">
        <v>80</v>
      </c>
      <c r="D11">
        <v>11079166000</v>
      </c>
      <c r="E11">
        <v>0.34070199868834888</v>
      </c>
      <c r="F11">
        <v>3774694000</v>
      </c>
      <c r="G11">
        <v>2982008260</v>
      </c>
      <c r="H11">
        <v>3812362138.5448322</v>
      </c>
      <c r="I11">
        <v>133946506.2024516</v>
      </c>
      <c r="J11">
        <v>-13910129997.729179</v>
      </c>
      <c r="K11">
        <v>-673417735.2548027</v>
      </c>
      <c r="L11">
        <v>7333841627.5971832</v>
      </c>
    </row>
    <row r="12" spans="1:13" x14ac:dyDescent="0.3">
      <c r="A12" t="s">
        <v>107</v>
      </c>
      <c r="B12">
        <v>1.7591904E+18</v>
      </c>
      <c r="C12" t="s">
        <v>81</v>
      </c>
      <c r="D12">
        <v>11510307000</v>
      </c>
      <c r="E12">
        <v>0.28220333306487833</v>
      </c>
      <c r="F12">
        <v>3248247000</v>
      </c>
      <c r="G12">
        <v>2566115130</v>
      </c>
      <c r="H12">
        <v>3960718578.4406099</v>
      </c>
      <c r="I12">
        <v>139158977.1258615</v>
      </c>
      <c r="J12">
        <v>-14451436749.279881</v>
      </c>
      <c r="K12">
        <v>-541306751.55069923</v>
      </c>
      <c r="L12">
        <v>6928981482.865449</v>
      </c>
    </row>
    <row r="13" spans="1:13" x14ac:dyDescent="0.3">
      <c r="A13" t="s">
        <v>107</v>
      </c>
      <c r="B13">
        <v>1.7671392E+18</v>
      </c>
      <c r="C13" t="s">
        <v>82</v>
      </c>
      <c r="D13">
        <v>12050762000</v>
      </c>
      <c r="E13">
        <v>0.24535070894272079</v>
      </c>
      <c r="F13">
        <v>2956663000</v>
      </c>
      <c r="G13">
        <v>2335763770</v>
      </c>
      <c r="H13">
        <v>4146690174.099277</v>
      </c>
      <c r="I13">
        <v>145693048.28335169</v>
      </c>
      <c r="J13">
        <v>-15129989567.057199</v>
      </c>
      <c r="K13">
        <v>-678552817.77732468</v>
      </c>
      <c r="L13">
        <v>7015313713.5932503</v>
      </c>
    </row>
    <row r="14" spans="1:13" x14ac:dyDescent="0.3">
      <c r="A14" t="s">
        <v>108</v>
      </c>
      <c r="B14">
        <v>1.7749152E+18</v>
      </c>
      <c r="C14" t="s">
        <v>90</v>
      </c>
      <c r="D14">
        <v>12624481032.95738</v>
      </c>
      <c r="E14">
        <v>0.34611189822022981</v>
      </c>
      <c r="F14">
        <v>4369483094.3621635</v>
      </c>
      <c r="G14">
        <v>3451891644.5461102</v>
      </c>
      <c r="H14">
        <v>4344107986.9029894</v>
      </c>
      <c r="I14">
        <v>152629279.76562119</v>
      </c>
      <c r="J14">
        <v>-15850306090.034519</v>
      </c>
      <c r="K14">
        <v>0</v>
      </c>
      <c r="L14">
        <v>7643370351.6834784</v>
      </c>
      <c r="M14" t="s">
        <v>89</v>
      </c>
    </row>
    <row r="15" spans="1:13" x14ac:dyDescent="0.3">
      <c r="A15" t="s">
        <v>108</v>
      </c>
      <c r="B15">
        <v>1.7827776E+18</v>
      </c>
      <c r="C15" t="s">
        <v>92</v>
      </c>
      <c r="D15">
        <v>13072472039.39072</v>
      </c>
      <c r="E15">
        <v>0.33458612083494632</v>
      </c>
      <c r="F15">
        <v>4373867709.3830395</v>
      </c>
      <c r="G15">
        <v>3455355490.412601</v>
      </c>
      <c r="H15">
        <v>4498262546.1301966</v>
      </c>
      <c r="I15">
        <v>158045466.3379558</v>
      </c>
      <c r="J15">
        <v>-16412768385.238091</v>
      </c>
      <c r="K15">
        <v>-562462295.20356369</v>
      </c>
      <c r="L15">
        <v>8358034865.4084063</v>
      </c>
      <c r="M15" t="s">
        <v>91</v>
      </c>
    </row>
    <row r="16" spans="1:13" x14ac:dyDescent="0.3">
      <c r="A16" t="s">
        <v>108</v>
      </c>
      <c r="B16">
        <v>1.7907264E+18</v>
      </c>
      <c r="C16" t="s">
        <v>94</v>
      </c>
      <c r="D16">
        <v>13509863194.27593</v>
      </c>
      <c r="E16">
        <v>0.33093295464572769</v>
      </c>
      <c r="F16">
        <v>4470858943.7413034</v>
      </c>
      <c r="G16">
        <v>3531978565.5556302</v>
      </c>
      <c r="H16">
        <v>4648769676.2353687</v>
      </c>
      <c r="I16">
        <v>163333501.28938901</v>
      </c>
      <c r="J16">
        <v>-16961922339.99518</v>
      </c>
      <c r="K16">
        <v>-549153954.75708961</v>
      </c>
      <c r="L16">
        <v>8566568695.2586994</v>
      </c>
      <c r="M16" t="s">
        <v>93</v>
      </c>
    </row>
    <row r="17" spans="1:13" x14ac:dyDescent="0.3">
      <c r="A17" t="s">
        <v>108</v>
      </c>
      <c r="B17">
        <v>1.7986752E+18</v>
      </c>
      <c r="C17" t="s">
        <v>96</v>
      </c>
      <c r="D17">
        <v>14001339209.224461</v>
      </c>
      <c r="E17">
        <v>0.2432001800240087</v>
      </c>
      <c r="F17">
        <v>3405128216.2605991</v>
      </c>
      <c r="G17">
        <v>2690051290.8458729</v>
      </c>
      <c r="H17">
        <v>4817887509.7792158</v>
      </c>
      <c r="I17">
        <v>169275419.21756679</v>
      </c>
      <c r="J17">
        <v>-17578980993.931751</v>
      </c>
      <c r="K17">
        <v>-617058653.93657303</v>
      </c>
      <c r="L17">
        <v>7955722035.3440962</v>
      </c>
      <c r="M17" t="s">
        <v>95</v>
      </c>
    </row>
    <row r="18" spans="1:13" x14ac:dyDescent="0.3">
      <c r="A18" t="s">
        <v>108</v>
      </c>
      <c r="B18">
        <v>1.8064512E+18</v>
      </c>
      <c r="C18" t="s">
        <v>98</v>
      </c>
      <c r="D18">
        <v>14674038835.98464</v>
      </c>
      <c r="E18">
        <v>0.36333121732988749</v>
      </c>
      <c r="F18">
        <v>5331536393.4243441</v>
      </c>
      <c r="G18">
        <v>4211913750.805232</v>
      </c>
      <c r="H18">
        <v>5049364733.5769062</v>
      </c>
      <c r="I18">
        <v>177408320.62262031</v>
      </c>
      <c r="J18">
        <v>-18423569770.529018</v>
      </c>
      <c r="K18">
        <v>-844588776.59726715</v>
      </c>
      <c r="L18">
        <v>9928458940.3567848</v>
      </c>
      <c r="M18" t="s">
        <v>97</v>
      </c>
    </row>
    <row r="19" spans="1:13" x14ac:dyDescent="0.3">
      <c r="A19" t="s">
        <v>108</v>
      </c>
      <c r="B19">
        <v>1.8143136E+18</v>
      </c>
      <c r="C19" t="s">
        <v>100</v>
      </c>
      <c r="D19">
        <v>15204115501.949499</v>
      </c>
      <c r="E19">
        <v>0.35093956236530199</v>
      </c>
      <c r="F19">
        <v>5335725640.4056625</v>
      </c>
      <c r="G19">
        <v>4215223255.9204741</v>
      </c>
      <c r="H19">
        <v>5231765124.7119884</v>
      </c>
      <c r="I19">
        <v>183816918.2937299</v>
      </c>
      <c r="J19">
        <v>-19089092367.8377</v>
      </c>
      <c r="K19">
        <v>-665522597.3086853</v>
      </c>
      <c r="L19">
        <v>9928694059.6474171</v>
      </c>
      <c r="M19" t="s">
        <v>99</v>
      </c>
    </row>
    <row r="20" spans="1:13" x14ac:dyDescent="0.3">
      <c r="A20" t="s">
        <v>108</v>
      </c>
      <c r="B20">
        <v>1.8222624E+18</v>
      </c>
      <c r="C20" t="s">
        <v>102</v>
      </c>
      <c r="D20">
        <v>15723448927.371099</v>
      </c>
      <c r="E20">
        <v>0.34716410519358681</v>
      </c>
      <c r="F20">
        <v>5458617077.4278507</v>
      </c>
      <c r="G20">
        <v>4312307491.1680021</v>
      </c>
      <c r="H20">
        <v>5410468746.2984962</v>
      </c>
      <c r="I20">
        <v>190095630.77889121</v>
      </c>
      <c r="J20">
        <v>-19741126596.748119</v>
      </c>
      <c r="K20">
        <v>-652034228.91041183</v>
      </c>
      <c r="L20">
        <v>10184714835.598021</v>
      </c>
      <c r="M20" t="s">
        <v>101</v>
      </c>
    </row>
    <row r="21" spans="1:13" x14ac:dyDescent="0.3">
      <c r="A21" t="s">
        <v>108</v>
      </c>
      <c r="B21">
        <v>1.8302112E+18</v>
      </c>
      <c r="C21" t="s">
        <v>104</v>
      </c>
      <c r="D21">
        <v>16305729447.96236</v>
      </c>
      <c r="E21">
        <v>0.25632092465138462</v>
      </c>
      <c r="F21">
        <v>4179499649.2170219</v>
      </c>
      <c r="G21">
        <v>3301804722.8814478</v>
      </c>
      <c r="H21">
        <v>5610832583.3160372</v>
      </c>
      <c r="I21">
        <v>197135370.17470339</v>
      </c>
      <c r="J21">
        <v>-20472192250.658329</v>
      </c>
      <c r="K21">
        <v>-731065653.91020966</v>
      </c>
      <c r="L21">
        <v>9446567589.932991</v>
      </c>
      <c r="M21" t="s">
        <v>103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00_Index</vt:lpstr>
      <vt:lpstr>01_Runtime_Summary</vt:lpstr>
      <vt:lpstr>B_Historical_Performance</vt:lpstr>
      <vt:lpstr>C_ProForma_Forecast</vt:lpstr>
      <vt:lpstr>D_FCFF_Components</vt:lpstr>
      <vt:lpstr>E2_DCF_Decomposition</vt:lpstr>
      <vt:lpstr>E_Relative_Valuation</vt:lpstr>
      <vt:lpstr>F_Target_Price_Comp</vt:lpstr>
      <vt:lpstr>G_Chart_Data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 호영</cp:lastModifiedBy>
  <dcterms:created xsi:type="dcterms:W3CDTF">2026-04-14T01:16:13Z</dcterms:created>
  <dcterms:modified xsi:type="dcterms:W3CDTF">2026-04-14T11:14:50Z</dcterms:modified>
</cp:coreProperties>
</file>