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Results/Korea/"/>
    </mc:Choice>
  </mc:AlternateContent>
  <xr:revisionPtr revIDLastSave="84" documentId="11_085DDF2FD54FFA0E62355476586EF63DAACB9F28" xr6:coauthVersionLast="47" xr6:coauthVersionMax="47" xr10:uidLastSave="{29DBE90B-FD4D-4816-85EC-7B820E6FFCF4}"/>
  <bookViews>
    <workbookView xWindow="28800" yWindow="0" windowWidth="28800" windowHeight="23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1" l="1"/>
  <c r="L42" i="1"/>
  <c r="L30" i="1"/>
  <c r="L29" i="1"/>
  <c r="L31" i="1" s="1"/>
  <c r="L14" i="1"/>
  <c r="L13" i="1"/>
  <c r="L15" i="1" l="1"/>
  <c r="L43" i="1"/>
</calcChain>
</file>

<file path=xl/sharedStrings.xml><?xml version="1.0" encoding="utf-8"?>
<sst xmlns="http://schemas.openxmlformats.org/spreadsheetml/2006/main" count="42" uniqueCount="14">
  <si>
    <t>year</t>
  </si>
  <si>
    <t>begin_book</t>
  </si>
  <si>
    <t>roe</t>
  </si>
  <si>
    <t>required_return</t>
  </si>
  <si>
    <t>spread_roe_minus_re</t>
  </si>
  <si>
    <t>net_income</t>
  </si>
  <si>
    <t>dividend</t>
  </si>
  <si>
    <t>residual_income</t>
  </si>
  <si>
    <t>end_book</t>
  </si>
  <si>
    <t>discount_factor</t>
  </si>
  <si>
    <t>pv_residual_income</t>
  </si>
  <si>
    <t>Book Value</t>
    <phoneticPr fontId="3" type="noConversion"/>
  </si>
  <si>
    <t>RI Sum</t>
    <phoneticPr fontId="3" type="noConversion"/>
  </si>
  <si>
    <t>Frim Value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</si>
</sst>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10" fontId="0" fillId="0" borderId="0" xfId="2" applyNumberFormat="1" applyFont="1" applyAlignment="1"/>
    <xf numFmtId="0" fontId="1" fillId="0" borderId="1" xfId="0" applyFont="1" applyBorder="1" applyAlignment="1">
      <alignment horizontal="center" vertical="center"/>
    </xf>
    <xf numFmtId="10" fontId="1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1" fillId="0" borderId="1" xfId="1" applyFont="1" applyBorder="1" applyAlignment="1">
      <alignment horizontal="center" vertical="center"/>
    </xf>
    <xf numFmtId="41" fontId="0" fillId="0" borderId="0" xfId="1" applyFont="1" applyAlignment="1"/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10" fontId="4" fillId="2" borderId="1" xfId="2" applyNumberFormat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3"/>
  <sheetViews>
    <sheetView showGridLines="0" tabSelected="1" workbookViewId="0">
      <selection activeCell="G11" sqref="G11"/>
    </sheetView>
  </sheetViews>
  <sheetFormatPr defaultRowHeight="16.5" x14ac:dyDescent="0.3"/>
  <cols>
    <col min="1" max="1" width="3.75" customWidth="1"/>
    <col min="3" max="3" width="12.75" style="8" bestFit="1" customWidth="1"/>
    <col min="4" max="4" width="9" style="1"/>
    <col min="5" max="5" width="15.875" style="1" bestFit="1" customWidth="1"/>
    <col min="6" max="6" width="20.875" style="1" bestFit="1" customWidth="1"/>
    <col min="7" max="8" width="12.875" bestFit="1" customWidth="1"/>
    <col min="9" max="9" width="16.5" bestFit="1" customWidth="1"/>
    <col min="10" max="10" width="13.125" bestFit="1" customWidth="1"/>
    <col min="11" max="11" width="15.75" bestFit="1" customWidth="1"/>
    <col min="12" max="12" width="19.5" bestFit="1" customWidth="1"/>
  </cols>
  <sheetData>
    <row r="2" spans="2:12" x14ac:dyDescent="0.3">
      <c r="B2" s="2" t="s">
        <v>0</v>
      </c>
      <c r="C2" s="7" t="s">
        <v>1</v>
      </c>
      <c r="D2" s="3" t="s">
        <v>2</v>
      </c>
      <c r="E2" s="3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2:12" x14ac:dyDescent="0.3">
      <c r="B3" s="9">
        <v>1</v>
      </c>
      <c r="C3" s="10">
        <v>1000062.79</v>
      </c>
      <c r="D3" s="11">
        <v>0.43202360948499469</v>
      </c>
      <c r="E3" s="11">
        <v>0.1072697013492762</v>
      </c>
      <c r="F3" s="11">
        <v>0.32475390813571853</v>
      </c>
      <c r="G3" s="10">
        <v>432050.73624743428</v>
      </c>
      <c r="H3" s="10">
        <v>21602.53681237172</v>
      </c>
      <c r="I3" s="10">
        <v>324774.29943361029</v>
      </c>
      <c r="J3" s="10">
        <v>1410510.989435063</v>
      </c>
      <c r="K3" s="11">
        <v>0.90312233666417352</v>
      </c>
      <c r="L3" s="10">
        <v>293310.92419295222</v>
      </c>
    </row>
    <row r="4" spans="2:12" x14ac:dyDescent="0.3">
      <c r="B4" s="9">
        <v>2</v>
      </c>
      <c r="C4" s="10">
        <v>1410510.989435063</v>
      </c>
      <c r="D4" s="11">
        <v>0.39593984191435938</v>
      </c>
      <c r="E4" s="11">
        <v>0.1072697013492762</v>
      </c>
      <c r="F4" s="11">
        <v>0.28867014056508311</v>
      </c>
      <c r="G4" s="10">
        <v>558477.49817538529</v>
      </c>
      <c r="H4" s="10">
        <v>27923.87490876927</v>
      </c>
      <c r="I4" s="10">
        <v>407172.40558881388</v>
      </c>
      <c r="J4" s="10">
        <v>1941064.612701678</v>
      </c>
      <c r="K4" s="11">
        <v>0.81562995498175694</v>
      </c>
      <c r="L4" s="10">
        <v>332102.01084021799</v>
      </c>
    </row>
    <row r="5" spans="2:12" x14ac:dyDescent="0.3">
      <c r="B5" s="9">
        <v>3</v>
      </c>
      <c r="C5" s="10">
        <v>1941064.612701678</v>
      </c>
      <c r="D5" s="11">
        <v>0.35985607434372402</v>
      </c>
      <c r="E5" s="11">
        <v>0.1072697013492762</v>
      </c>
      <c r="F5" s="11">
        <v>0.25258637299444769</v>
      </c>
      <c r="G5" s="10">
        <v>698503.89157434693</v>
      </c>
      <c r="H5" s="10">
        <v>34925.194578717354</v>
      </c>
      <c r="I5" s="10">
        <v>490286.4702701894</v>
      </c>
      <c r="J5" s="10">
        <v>2604643.3096973081</v>
      </c>
      <c r="K5" s="11">
        <v>0.73661363079641895</v>
      </c>
      <c r="L5" s="10">
        <v>361151.69699608471</v>
      </c>
    </row>
    <row r="6" spans="2:12" x14ac:dyDescent="0.3">
      <c r="B6" s="9">
        <v>4</v>
      </c>
      <c r="C6" s="10">
        <v>2604643.3096973081</v>
      </c>
      <c r="D6" s="11">
        <v>0.32377230677308849</v>
      </c>
      <c r="E6" s="11">
        <v>0.1072697013492762</v>
      </c>
      <c r="F6" s="11">
        <v>0.21650260542381231</v>
      </c>
      <c r="G6" s="10">
        <v>843311.37270178937</v>
      </c>
      <c r="H6" s="10">
        <v>42165.568635089468</v>
      </c>
      <c r="I6" s="10">
        <v>563912.06274916872</v>
      </c>
      <c r="J6" s="10">
        <v>3405789.113764008</v>
      </c>
      <c r="K6" s="11">
        <v>0.66525222346354262</v>
      </c>
      <c r="L6" s="10">
        <v>375143.75358179718</v>
      </c>
    </row>
    <row r="7" spans="2:12" x14ac:dyDescent="0.3">
      <c r="B7" s="9">
        <v>5</v>
      </c>
      <c r="C7" s="10">
        <v>3405789.113764008</v>
      </c>
      <c r="D7" s="11">
        <v>0.28768853920245319</v>
      </c>
      <c r="E7" s="11">
        <v>0.1072697013492762</v>
      </c>
      <c r="F7" s="11">
        <v>0.18041883785317689</v>
      </c>
      <c r="G7" s="10">
        <v>979806.49497038499</v>
      </c>
      <c r="H7" s="10">
        <v>48990.324748519262</v>
      </c>
      <c r="I7" s="10">
        <v>614468.5138783037</v>
      </c>
      <c r="J7" s="10">
        <v>4336605.2839858737</v>
      </c>
      <c r="K7" s="11">
        <v>0.60080414252543168</v>
      </c>
      <c r="L7" s="10">
        <v>369175.22858953063</v>
      </c>
    </row>
    <row r="8" spans="2:12" x14ac:dyDescent="0.3">
      <c r="B8" s="9">
        <v>6</v>
      </c>
      <c r="C8" s="10">
        <v>4336605.2839858737</v>
      </c>
      <c r="D8" s="11">
        <v>0.25160477163181783</v>
      </c>
      <c r="E8" s="11">
        <v>0.1072697013492762</v>
      </c>
      <c r="F8" s="11">
        <v>0.14433507028254161</v>
      </c>
      <c r="G8" s="10">
        <v>1091110.5821346</v>
      </c>
      <c r="H8" s="10">
        <v>54555.529106730013</v>
      </c>
      <c r="I8" s="10">
        <v>625924.22845174232</v>
      </c>
      <c r="J8" s="10">
        <v>5373160.3370137447</v>
      </c>
      <c r="K8" s="11">
        <v>0.54259964107508296</v>
      </c>
      <c r="L8" s="10">
        <v>339626.26169811358</v>
      </c>
    </row>
    <row r="9" spans="2:12" x14ac:dyDescent="0.3">
      <c r="B9" s="9">
        <v>7</v>
      </c>
      <c r="C9" s="10">
        <v>5373160.3370137447</v>
      </c>
      <c r="D9" s="11">
        <v>0.21552100406118241</v>
      </c>
      <c r="E9" s="11">
        <v>0.1072697013492762</v>
      </c>
      <c r="F9" s="11">
        <v>0.10825130271190619</v>
      </c>
      <c r="G9" s="10">
        <v>1158028.910814923</v>
      </c>
      <c r="H9" s="10">
        <v>57901.445540746179</v>
      </c>
      <c r="I9" s="10">
        <v>581651.60616168263</v>
      </c>
      <c r="J9" s="10">
        <v>6473287.8022879222</v>
      </c>
      <c r="K9" s="11">
        <v>0.49003385572087088</v>
      </c>
      <c r="L9" s="10">
        <v>285028.9792536468</v>
      </c>
    </row>
    <row r="10" spans="2:12" x14ac:dyDescent="0.3">
      <c r="B10" s="9">
        <v>8</v>
      </c>
      <c r="C10" s="10">
        <v>6473287.8022879222</v>
      </c>
      <c r="D10" s="11">
        <v>0.17943723649054699</v>
      </c>
      <c r="E10" s="11">
        <v>0.1072697013492762</v>
      </c>
      <c r="F10" s="11">
        <v>7.216753514127075E-2</v>
      </c>
      <c r="G10" s="10">
        <v>1161548.8742505109</v>
      </c>
      <c r="H10" s="10">
        <v>58077.443712525557</v>
      </c>
      <c r="I10" s="10">
        <v>467161.22495117289</v>
      </c>
      <c r="J10" s="10">
        <v>7576759.2328259079</v>
      </c>
      <c r="K10" s="11">
        <v>0.44256052082318742</v>
      </c>
      <c r="L10" s="10">
        <v>206747.11502278931</v>
      </c>
    </row>
    <row r="11" spans="2:12" x14ac:dyDescent="0.3">
      <c r="B11" s="9">
        <v>9</v>
      </c>
      <c r="C11" s="10">
        <v>7576759.2328259079</v>
      </c>
      <c r="D11" s="11">
        <v>0.1433534689199116</v>
      </c>
      <c r="E11" s="11">
        <v>0.1072697013492762</v>
      </c>
      <c r="F11" s="11">
        <v>3.6083767570635389E-2</v>
      </c>
      <c r="G11" s="10">
        <v>1086154.7191965601</v>
      </c>
      <c r="H11" s="10">
        <v>54307.735959828111</v>
      </c>
      <c r="I11" s="10">
        <v>273398.01909595582</v>
      </c>
      <c r="J11" s="10">
        <v>8608606.2160626426</v>
      </c>
      <c r="K11" s="11">
        <v>0.39968629168115061</v>
      </c>
      <c r="L11" s="10">
        <v>109273.440405435</v>
      </c>
    </row>
    <row r="12" spans="2:12" x14ac:dyDescent="0.3">
      <c r="B12" s="9">
        <v>10</v>
      </c>
      <c r="C12" s="10">
        <v>8608606.2160626426</v>
      </c>
      <c r="D12" s="11">
        <v>0.1072697013492762</v>
      </c>
      <c r="E12" s="11">
        <v>0.1072697013492762</v>
      </c>
      <c r="F12" s="11">
        <v>0</v>
      </c>
      <c r="G12" s="10">
        <v>923442.61783056275</v>
      </c>
      <c r="H12" s="10">
        <v>46172.130891528141</v>
      </c>
      <c r="I12" s="10">
        <v>0</v>
      </c>
      <c r="J12" s="10">
        <v>9485876.703001678</v>
      </c>
      <c r="K12" s="11">
        <v>0.36096561767571922</v>
      </c>
      <c r="L12" s="10">
        <v>0</v>
      </c>
    </row>
    <row r="13" spans="2:12" x14ac:dyDescent="0.3">
      <c r="B13" s="4"/>
      <c r="C13" s="6"/>
      <c r="D13" s="5"/>
      <c r="E13" s="5"/>
      <c r="F13" s="5"/>
      <c r="G13" s="6"/>
      <c r="H13" s="6"/>
      <c r="I13" s="6"/>
      <c r="J13" s="6"/>
      <c r="K13" s="11" t="s">
        <v>12</v>
      </c>
      <c r="L13" s="10">
        <f>SUM(L3:L12)</f>
        <v>2671559.4105805671</v>
      </c>
    </row>
    <row r="14" spans="2:12" x14ac:dyDescent="0.3">
      <c r="B14" s="4"/>
      <c r="C14" s="6"/>
      <c r="D14" s="5"/>
      <c r="E14" s="5"/>
      <c r="F14" s="5"/>
      <c r="G14" s="6"/>
      <c r="H14" s="6"/>
      <c r="I14" s="6"/>
      <c r="J14" s="6"/>
      <c r="K14" s="11" t="s">
        <v>11</v>
      </c>
      <c r="L14" s="10">
        <f>C3</f>
        <v>1000062.79</v>
      </c>
    </row>
    <row r="15" spans="2:12" x14ac:dyDescent="0.3">
      <c r="B15" s="4"/>
      <c r="C15" s="6"/>
      <c r="D15" s="5"/>
      <c r="E15" s="5"/>
      <c r="F15" s="5"/>
      <c r="G15" s="6"/>
      <c r="H15" s="6"/>
      <c r="I15" s="6"/>
      <c r="J15" s="6"/>
      <c r="K15" s="13" t="s">
        <v>13</v>
      </c>
      <c r="L15" s="12">
        <f>SUM(L13:L14)</f>
        <v>3671622.2005805671</v>
      </c>
    </row>
    <row r="16" spans="2:12" x14ac:dyDescent="0.3">
      <c r="B16" s="4"/>
      <c r="C16" s="6"/>
      <c r="D16" s="5"/>
      <c r="E16" s="5"/>
      <c r="F16" s="5"/>
      <c r="G16" s="6"/>
      <c r="H16" s="6"/>
      <c r="I16" s="6"/>
      <c r="J16" s="6"/>
      <c r="K16" s="5"/>
      <c r="L16" s="6"/>
    </row>
    <row r="17" spans="2:12" x14ac:dyDescent="0.3">
      <c r="B17" s="4"/>
      <c r="C17" s="6"/>
      <c r="D17" s="5"/>
      <c r="E17" s="5"/>
      <c r="F17" s="5"/>
      <c r="G17" s="6"/>
      <c r="H17" s="6"/>
      <c r="I17" s="6"/>
      <c r="J17" s="6"/>
      <c r="K17" s="5"/>
      <c r="L17" s="6"/>
    </row>
    <row r="18" spans="2:12" x14ac:dyDescent="0.3">
      <c r="B18" s="2" t="s">
        <v>0</v>
      </c>
      <c r="C18" s="7" t="s">
        <v>1</v>
      </c>
      <c r="D18" s="3" t="s">
        <v>2</v>
      </c>
      <c r="E18" s="3" t="s">
        <v>3</v>
      </c>
      <c r="F18" s="3" t="s">
        <v>4</v>
      </c>
      <c r="G18" s="7" t="s">
        <v>5</v>
      </c>
      <c r="H18" s="7" t="s">
        <v>6</v>
      </c>
      <c r="I18" s="7" t="s">
        <v>7</v>
      </c>
      <c r="J18" s="7" t="s">
        <v>8</v>
      </c>
      <c r="K18" s="3" t="s">
        <v>9</v>
      </c>
      <c r="L18" s="7" t="s">
        <v>10</v>
      </c>
    </row>
    <row r="19" spans="2:12" x14ac:dyDescent="0.3">
      <c r="B19" s="9">
        <v>1</v>
      </c>
      <c r="C19" s="10">
        <v>1000062.79</v>
      </c>
      <c r="D19" s="11">
        <v>0.43202360948499469</v>
      </c>
      <c r="E19" s="11">
        <v>0.1072697013492762</v>
      </c>
      <c r="F19" s="11">
        <v>0.32475390813571853</v>
      </c>
      <c r="G19" s="10">
        <v>432050.73624743428</v>
      </c>
      <c r="H19" s="10">
        <v>21602.53681237172</v>
      </c>
      <c r="I19" s="10">
        <v>324774.29943361029</v>
      </c>
      <c r="J19" s="10">
        <v>1410510.989435063</v>
      </c>
      <c r="K19" s="11">
        <v>0.90312233666417352</v>
      </c>
      <c r="L19" s="10">
        <v>293310.92419295222</v>
      </c>
    </row>
    <row r="20" spans="2:12" x14ac:dyDescent="0.3">
      <c r="B20" s="9">
        <v>2</v>
      </c>
      <c r="C20" s="10">
        <v>1410510.989435063</v>
      </c>
      <c r="D20" s="11">
        <v>0.43202360948499469</v>
      </c>
      <c r="E20" s="11">
        <v>0.1072697013492762</v>
      </c>
      <c r="F20" s="11">
        <v>0.32475390813571853</v>
      </c>
      <c r="G20" s="10">
        <v>609374.04887398693</v>
      </c>
      <c r="H20" s="10">
        <v>30468.702443699349</v>
      </c>
      <c r="I20" s="10">
        <v>458068.95628741558</v>
      </c>
      <c r="J20" s="10">
        <v>1989416.33586535</v>
      </c>
      <c r="K20" s="11">
        <v>0.81562995498175694</v>
      </c>
      <c r="L20" s="10">
        <v>373614.76219524519</v>
      </c>
    </row>
    <row r="21" spans="2:12" x14ac:dyDescent="0.3">
      <c r="B21" s="9">
        <v>3</v>
      </c>
      <c r="C21" s="10">
        <v>1989416.33586535</v>
      </c>
      <c r="D21" s="11">
        <v>0.43202360948499469</v>
      </c>
      <c r="E21" s="11">
        <v>0.1072697013492762</v>
      </c>
      <c r="F21" s="11">
        <v>0.32475390813571853</v>
      </c>
      <c r="G21" s="10">
        <v>859474.82618896104</v>
      </c>
      <c r="H21" s="10">
        <v>42973.741309448058</v>
      </c>
      <c r="I21" s="10">
        <v>646070.72998131346</v>
      </c>
      <c r="J21" s="10">
        <v>2805917.4207448629</v>
      </c>
      <c r="K21" s="11">
        <v>0.73661363079641895</v>
      </c>
      <c r="L21" s="10">
        <v>475904.50616282813</v>
      </c>
    </row>
    <row r="22" spans="2:12" x14ac:dyDescent="0.3">
      <c r="B22" s="9">
        <v>4</v>
      </c>
      <c r="C22" s="10">
        <v>2805917.4207448629</v>
      </c>
      <c r="D22" s="11">
        <v>0.38563019403703502</v>
      </c>
      <c r="E22" s="11">
        <v>0.1072697013492762</v>
      </c>
      <c r="F22" s="11">
        <v>0.27836049268775881</v>
      </c>
      <c r="G22" s="10">
        <v>1082046.479413738</v>
      </c>
      <c r="H22" s="10">
        <v>54102.323970686914</v>
      </c>
      <c r="I22" s="10">
        <v>781056.55567970534</v>
      </c>
      <c r="J22" s="10">
        <v>3833861.5761879138</v>
      </c>
      <c r="K22" s="11">
        <v>0.66525222346354262</v>
      </c>
      <c r="L22" s="10">
        <v>519599.61031670019</v>
      </c>
    </row>
    <row r="23" spans="2:12" x14ac:dyDescent="0.3">
      <c r="B23" s="9">
        <v>5</v>
      </c>
      <c r="C23" s="10">
        <v>3833861.5761879138</v>
      </c>
      <c r="D23" s="11">
        <v>0.33923677858907519</v>
      </c>
      <c r="E23" s="11">
        <v>0.1072697013492762</v>
      </c>
      <c r="F23" s="11">
        <v>0.23196707723979901</v>
      </c>
      <c r="G23" s="10">
        <v>1300586.8506624219</v>
      </c>
      <c r="H23" s="10">
        <v>65029.342533121111</v>
      </c>
      <c r="I23" s="10">
        <v>889329.66437027918</v>
      </c>
      <c r="J23" s="10">
        <v>5069419.0843172148</v>
      </c>
      <c r="K23" s="11">
        <v>0.60080414252543168</v>
      </c>
      <c r="L23" s="10">
        <v>534312.94642441557</v>
      </c>
    </row>
    <row r="24" spans="2:12" x14ac:dyDescent="0.3">
      <c r="B24" s="9">
        <v>6</v>
      </c>
      <c r="C24" s="10">
        <v>5069419.0843172148</v>
      </c>
      <c r="D24" s="11">
        <v>0.29284336314111542</v>
      </c>
      <c r="E24" s="11">
        <v>0.1072697013492762</v>
      </c>
      <c r="F24" s="11">
        <v>0.1855736617918391</v>
      </c>
      <c r="G24" s="10">
        <v>1484545.733823207</v>
      </c>
      <c r="H24" s="10">
        <v>74227.286691160334</v>
      </c>
      <c r="I24" s="10">
        <v>940750.6626341776</v>
      </c>
      <c r="J24" s="10">
        <v>6479737.5314492611</v>
      </c>
      <c r="K24" s="11">
        <v>0.54259964107508296</v>
      </c>
      <c r="L24" s="10">
        <v>510450.97188645118</v>
      </c>
    </row>
    <row r="25" spans="2:12" x14ac:dyDescent="0.3">
      <c r="B25" s="9">
        <v>7</v>
      </c>
      <c r="C25" s="10">
        <v>6479737.5314492611</v>
      </c>
      <c r="D25" s="11">
        <v>0.24644994769315559</v>
      </c>
      <c r="E25" s="11">
        <v>0.1072697013492762</v>
      </c>
      <c r="F25" s="11">
        <v>0.1391802463438794</v>
      </c>
      <c r="G25" s="10">
        <v>1596930.975691048</v>
      </c>
      <c r="H25" s="10">
        <v>79846.548784552389</v>
      </c>
      <c r="I25" s="10">
        <v>901851.46587078902</v>
      </c>
      <c r="J25" s="10">
        <v>7996821.9583557555</v>
      </c>
      <c r="K25" s="11">
        <v>0.49003385572087088</v>
      </c>
      <c r="L25" s="10">
        <v>441937.75110818213</v>
      </c>
    </row>
    <row r="26" spans="2:12" x14ac:dyDescent="0.3">
      <c r="B26" s="9">
        <v>8</v>
      </c>
      <c r="C26" s="10">
        <v>7996821.9583557555</v>
      </c>
      <c r="D26" s="11">
        <v>0.20005653224519579</v>
      </c>
      <c r="E26" s="11">
        <v>0.1072697013492762</v>
      </c>
      <c r="F26" s="11">
        <v>9.2786830895919603E-2</v>
      </c>
      <c r="G26" s="10">
        <v>1599816.4699708889</v>
      </c>
      <c r="H26" s="10">
        <v>79990.823498544443</v>
      </c>
      <c r="I26" s="10">
        <v>741999.76675473223</v>
      </c>
      <c r="J26" s="10">
        <v>9516647.6048281007</v>
      </c>
      <c r="K26" s="11">
        <v>0.44256052082318742</v>
      </c>
      <c r="L26" s="10">
        <v>328379.80322565779</v>
      </c>
    </row>
    <row r="27" spans="2:12" x14ac:dyDescent="0.3">
      <c r="B27" s="9">
        <v>9</v>
      </c>
      <c r="C27" s="10">
        <v>9516647.6048281007</v>
      </c>
      <c r="D27" s="11">
        <v>0.15366311679723599</v>
      </c>
      <c r="E27" s="11">
        <v>0.1072697013492762</v>
      </c>
      <c r="F27" s="11">
        <v>4.6393415447959802E-2</v>
      </c>
      <c r="G27" s="10">
        <v>1462357.732418837</v>
      </c>
      <c r="H27" s="10">
        <v>73117.886620941848</v>
      </c>
      <c r="I27" s="10">
        <v>441509.78600262158</v>
      </c>
      <c r="J27" s="10">
        <v>10905887.450626001</v>
      </c>
      <c r="K27" s="11">
        <v>0.39968629168115061</v>
      </c>
      <c r="L27" s="10">
        <v>176465.40910832619</v>
      </c>
    </row>
    <row r="28" spans="2:12" x14ac:dyDescent="0.3">
      <c r="B28" s="9">
        <v>10</v>
      </c>
      <c r="C28" s="10">
        <v>10905887.450626001</v>
      </c>
      <c r="D28" s="11">
        <v>0.1072697013492762</v>
      </c>
      <c r="E28" s="11">
        <v>0.1072697013492762</v>
      </c>
      <c r="F28" s="11">
        <v>0</v>
      </c>
      <c r="G28" s="10">
        <v>1169871.2897774701</v>
      </c>
      <c r="H28" s="10">
        <v>58493.564488873497</v>
      </c>
      <c r="I28" s="10">
        <v>0</v>
      </c>
      <c r="J28" s="10">
        <v>12017265.175914589</v>
      </c>
      <c r="K28" s="11">
        <v>0.36096561767571922</v>
      </c>
      <c r="L28" s="10">
        <v>0</v>
      </c>
    </row>
    <row r="29" spans="2:12" x14ac:dyDescent="0.3">
      <c r="B29" s="4"/>
      <c r="C29" s="6"/>
      <c r="D29" s="5"/>
      <c r="E29" s="5"/>
      <c r="F29" s="5"/>
      <c r="G29" s="6"/>
      <c r="H29" s="6"/>
      <c r="I29" s="6"/>
      <c r="J29" s="6"/>
      <c r="K29" s="11" t="s">
        <v>12</v>
      </c>
      <c r="L29" s="10">
        <f>SUM(L19:L28)</f>
        <v>3653976.6846207585</v>
      </c>
    </row>
    <row r="30" spans="2:12" x14ac:dyDescent="0.3">
      <c r="B30" s="4"/>
      <c r="C30" s="6"/>
      <c r="D30" s="5"/>
      <c r="E30" s="5"/>
      <c r="F30" s="5"/>
      <c r="G30" s="6"/>
      <c r="H30" s="6"/>
      <c r="I30" s="6"/>
      <c r="J30" s="6"/>
      <c r="K30" s="11" t="s">
        <v>11</v>
      </c>
      <c r="L30" s="10">
        <f>C19</f>
        <v>1000062.79</v>
      </c>
    </row>
    <row r="31" spans="2:12" x14ac:dyDescent="0.3">
      <c r="B31" s="4"/>
      <c r="C31" s="6"/>
      <c r="D31" s="5"/>
      <c r="E31" s="5"/>
      <c r="F31" s="5"/>
      <c r="G31" s="6"/>
      <c r="H31" s="6"/>
      <c r="I31" s="6"/>
      <c r="J31" s="6"/>
      <c r="K31" s="13" t="s">
        <v>13</v>
      </c>
      <c r="L31" s="12">
        <f>SUM(L29:L30)</f>
        <v>4654039.4746207586</v>
      </c>
    </row>
    <row r="32" spans="2:12" x14ac:dyDescent="0.3">
      <c r="B32" s="4"/>
      <c r="C32" s="6"/>
      <c r="D32" s="5"/>
      <c r="E32" s="5"/>
      <c r="F32" s="5"/>
      <c r="G32" s="6"/>
      <c r="H32" s="6"/>
      <c r="I32" s="6"/>
      <c r="J32" s="6"/>
      <c r="K32" s="5"/>
      <c r="L32" s="6"/>
    </row>
    <row r="33" spans="2:12" x14ac:dyDescent="0.3">
      <c r="B33" s="4"/>
      <c r="C33" s="6"/>
      <c r="D33" s="5"/>
      <c r="E33" s="5"/>
      <c r="F33" s="5"/>
      <c r="G33" s="6"/>
      <c r="H33" s="6"/>
      <c r="I33" s="6"/>
      <c r="J33" s="6"/>
      <c r="K33" s="5"/>
      <c r="L33" s="6"/>
    </row>
    <row r="34" spans="2:12" x14ac:dyDescent="0.3">
      <c r="B34" s="2" t="s">
        <v>0</v>
      </c>
      <c r="C34" s="7" t="s">
        <v>1</v>
      </c>
      <c r="D34" s="3" t="s">
        <v>2</v>
      </c>
      <c r="E34" s="3" t="s">
        <v>3</v>
      </c>
      <c r="F34" s="3" t="s">
        <v>4</v>
      </c>
      <c r="G34" s="7" t="s">
        <v>5</v>
      </c>
      <c r="H34" s="7" t="s">
        <v>6</v>
      </c>
      <c r="I34" s="7" t="s">
        <v>7</v>
      </c>
      <c r="J34" s="7" t="s">
        <v>8</v>
      </c>
      <c r="K34" s="3" t="s">
        <v>9</v>
      </c>
      <c r="L34" s="7" t="s">
        <v>10</v>
      </c>
    </row>
    <row r="35" spans="2:12" x14ac:dyDescent="0.3">
      <c r="B35" s="9">
        <v>1</v>
      </c>
      <c r="C35" s="10">
        <v>1000062.79</v>
      </c>
      <c r="D35" s="11">
        <v>0.43202360948499469</v>
      </c>
      <c r="E35" s="11">
        <v>0.1072697013492762</v>
      </c>
      <c r="F35" s="11">
        <v>0.32475390813571853</v>
      </c>
      <c r="G35" s="10">
        <v>432050.73624743428</v>
      </c>
      <c r="H35" s="10">
        <v>21602.53681237172</v>
      </c>
      <c r="I35" s="10">
        <v>324774.29943361029</v>
      </c>
      <c r="J35" s="10">
        <v>1410510.989435063</v>
      </c>
      <c r="K35" s="11">
        <v>0.90312233666417352</v>
      </c>
      <c r="L35" s="10">
        <v>293310.92419295222</v>
      </c>
    </row>
    <row r="36" spans="2:12" x14ac:dyDescent="0.3">
      <c r="B36" s="9">
        <v>2</v>
      </c>
      <c r="C36" s="10">
        <v>1410510.989435063</v>
      </c>
      <c r="D36" s="11">
        <v>0.36707282785785111</v>
      </c>
      <c r="E36" s="11">
        <v>0.1072697013492762</v>
      </c>
      <c r="F36" s="11">
        <v>0.25980312650857479</v>
      </c>
      <c r="G36" s="10">
        <v>517760.25761650392</v>
      </c>
      <c r="H36" s="10">
        <v>25888.01288082519</v>
      </c>
      <c r="I36" s="10">
        <v>366455.16502993263</v>
      </c>
      <c r="J36" s="10">
        <v>1902383.2341707409</v>
      </c>
      <c r="K36" s="11">
        <v>0.81562995498175694</v>
      </c>
      <c r="L36" s="10">
        <v>298891.80975619628</v>
      </c>
    </row>
    <row r="37" spans="2:12" x14ac:dyDescent="0.3">
      <c r="B37" s="9">
        <v>3</v>
      </c>
      <c r="C37" s="10">
        <v>1902383.2341707409</v>
      </c>
      <c r="D37" s="11">
        <v>0.30212204623070738</v>
      </c>
      <c r="E37" s="11">
        <v>0.1072697013492762</v>
      </c>
      <c r="F37" s="11">
        <v>0.19485234488143111</v>
      </c>
      <c r="G37" s="10">
        <v>574751.91542265529</v>
      </c>
      <c r="H37" s="10">
        <v>28737.595771132761</v>
      </c>
      <c r="I37" s="10">
        <v>370683.83404128958</v>
      </c>
      <c r="J37" s="10">
        <v>2448397.5538222641</v>
      </c>
      <c r="K37" s="11">
        <v>0.73661363079641895</v>
      </c>
      <c r="L37" s="10">
        <v>273050.76487069158</v>
      </c>
    </row>
    <row r="38" spans="2:12" x14ac:dyDescent="0.3">
      <c r="B38" s="9">
        <v>4</v>
      </c>
      <c r="C38" s="10">
        <v>2448397.5538222641</v>
      </c>
      <c r="D38" s="11">
        <v>0.23717126460356361</v>
      </c>
      <c r="E38" s="11">
        <v>0.1072697013492762</v>
      </c>
      <c r="F38" s="11">
        <v>0.12990156325428739</v>
      </c>
      <c r="G38" s="10">
        <v>580689.54409229802</v>
      </c>
      <c r="H38" s="10">
        <v>29034.477204614901</v>
      </c>
      <c r="I38" s="10">
        <v>318050.66970948532</v>
      </c>
      <c r="J38" s="10">
        <v>3000052.6207099468</v>
      </c>
      <c r="K38" s="11">
        <v>0.66525222346354262</v>
      </c>
      <c r="L38" s="10">
        <v>211583.9151983039</v>
      </c>
    </row>
    <row r="39" spans="2:12" x14ac:dyDescent="0.3">
      <c r="B39" s="9">
        <v>5</v>
      </c>
      <c r="C39" s="10">
        <v>3000052.6207099468</v>
      </c>
      <c r="D39" s="11">
        <v>0.17222048297642001</v>
      </c>
      <c r="E39" s="11">
        <v>0.1072697013492762</v>
      </c>
      <c r="F39" s="11">
        <v>6.4950781627143711E-2</v>
      </c>
      <c r="G39" s="10">
        <v>516670.51129334152</v>
      </c>
      <c r="H39" s="10">
        <v>25833.52556466707</v>
      </c>
      <c r="I39" s="10">
        <v>194855.76263767201</v>
      </c>
      <c r="J39" s="10">
        <v>3490889.6064386209</v>
      </c>
      <c r="K39" s="11">
        <v>0.60080414252543168</v>
      </c>
      <c r="L39" s="10">
        <v>117070.1493876655</v>
      </c>
    </row>
    <row r="40" spans="2:12" x14ac:dyDescent="0.3">
      <c r="B40" s="9">
        <v>6</v>
      </c>
      <c r="C40" s="10">
        <v>3490889.6064386209</v>
      </c>
      <c r="D40" s="11">
        <v>0.1072697013492762</v>
      </c>
      <c r="E40" s="11">
        <v>0.1072697013492762</v>
      </c>
      <c r="F40" s="11">
        <v>0</v>
      </c>
      <c r="G40" s="10">
        <v>374466.68552596337</v>
      </c>
      <c r="H40" s="10">
        <v>18723.33427629817</v>
      </c>
      <c r="I40" s="10">
        <v>0</v>
      </c>
      <c r="J40" s="10">
        <v>3846632.957688286</v>
      </c>
      <c r="K40" s="11">
        <v>0.54259964107508296</v>
      </c>
      <c r="L40" s="10">
        <v>0</v>
      </c>
    </row>
    <row r="41" spans="2:12" x14ac:dyDescent="0.3">
      <c r="K41" s="11" t="s">
        <v>12</v>
      </c>
      <c r="L41" s="10">
        <f>SUM(L35:L40)</f>
        <v>1193907.5634058097</v>
      </c>
    </row>
    <row r="42" spans="2:12" x14ac:dyDescent="0.3">
      <c r="K42" s="11" t="s">
        <v>11</v>
      </c>
      <c r="L42" s="10">
        <f>C35</f>
        <v>1000062.79</v>
      </c>
    </row>
    <row r="43" spans="2:12" x14ac:dyDescent="0.3">
      <c r="K43" s="13" t="s">
        <v>13</v>
      </c>
      <c r="L43" s="12">
        <f>SUM(L41:L42)</f>
        <v>2193970.35340581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2025-11-25T05:08:15Z</dcterms:created>
  <dcterms:modified xsi:type="dcterms:W3CDTF">2025-11-25T08:39:05Z</dcterms:modified>
</cp:coreProperties>
</file>