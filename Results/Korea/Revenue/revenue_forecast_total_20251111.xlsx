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Revenue/"/>
    </mc:Choice>
  </mc:AlternateContent>
  <xr:revisionPtr revIDLastSave="577" documentId="11_0EC5F7DE524590DFE54878D6425DCE3A8744AAD7" xr6:coauthVersionLast="47" xr6:coauthVersionMax="47" xr10:uidLastSave="{071248A3-1626-4A06-A58B-B201B46A2249}"/>
  <bookViews>
    <workbookView xWindow="0" yWindow="0" windowWidth="28800" windowHeight="23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7" i="1" l="1"/>
  <c r="K330" i="1"/>
  <c r="J330" i="1"/>
  <c r="J329" i="1"/>
  <c r="K329" i="1" s="1"/>
  <c r="J328" i="1"/>
  <c r="K328" i="1" s="1"/>
  <c r="J327" i="1"/>
  <c r="K327" i="1" s="1"/>
  <c r="J326" i="1"/>
  <c r="K326" i="1" s="1"/>
  <c r="J318" i="1"/>
  <c r="K318" i="1" s="1"/>
  <c r="J314" i="1"/>
  <c r="J317" i="1"/>
  <c r="K317" i="1" s="1"/>
  <c r="J316" i="1"/>
  <c r="K316" i="1" s="1"/>
  <c r="J315" i="1"/>
  <c r="K315" i="1" s="1"/>
  <c r="K314" i="1"/>
  <c r="J290" i="1"/>
  <c r="J293" i="1"/>
  <c r="K293" i="1" s="1"/>
  <c r="J292" i="1"/>
  <c r="K292" i="1" s="1"/>
  <c r="J291" i="1"/>
  <c r="K291" i="1" s="1"/>
  <c r="K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290" i="1"/>
  <c r="J278" i="1"/>
  <c r="K278" i="1" s="1"/>
  <c r="J281" i="1"/>
  <c r="K281" i="1" s="1"/>
  <c r="J280" i="1"/>
  <c r="K280" i="1" s="1"/>
  <c r="J279" i="1"/>
  <c r="K279" i="1" s="1"/>
  <c r="L281" i="1" s="1"/>
  <c r="J257" i="1"/>
  <c r="K257" i="1" s="1"/>
  <c r="J256" i="1"/>
  <c r="K256" i="1" s="1"/>
  <c r="J255" i="1"/>
  <c r="K255" i="1" s="1"/>
  <c r="J254" i="1"/>
  <c r="K254" i="1" s="1"/>
  <c r="J246" i="1"/>
  <c r="J245" i="1"/>
  <c r="K245" i="1" s="1"/>
  <c r="J244" i="1"/>
  <c r="K244" i="1" s="1"/>
  <c r="J243" i="1"/>
  <c r="K243" i="1" s="1"/>
  <c r="J242" i="1"/>
  <c r="K242" i="1" s="1"/>
  <c r="J230" i="1"/>
  <c r="K230" i="1" s="1"/>
  <c r="K229" i="1"/>
  <c r="J231" i="1"/>
  <c r="K231" i="1" s="1"/>
  <c r="J232" i="1"/>
  <c r="K232" i="1" s="1"/>
  <c r="J233" i="1"/>
  <c r="K233" i="1" s="1"/>
  <c r="J234" i="1"/>
  <c r="J221" i="1"/>
  <c r="K221" i="1" s="1"/>
  <c r="J220" i="1"/>
  <c r="K220" i="1" s="1"/>
  <c r="J219" i="1"/>
  <c r="K219" i="1" s="1"/>
  <c r="J218" i="1"/>
  <c r="K218" i="1" s="1"/>
  <c r="J198" i="1"/>
  <c r="K198" i="1" s="1"/>
  <c r="J197" i="1"/>
  <c r="K197" i="1" s="1"/>
  <c r="J196" i="1"/>
  <c r="K196" i="1" s="1"/>
  <c r="J195" i="1"/>
  <c r="K195" i="1" s="1"/>
  <c r="J194" i="1"/>
  <c r="K194" i="1" s="1"/>
  <c r="L16" i="1" s="1"/>
  <c r="J186" i="1"/>
  <c r="K186" i="1" s="1"/>
  <c r="J185" i="1"/>
  <c r="K185" i="1" s="1"/>
  <c r="J184" i="1"/>
  <c r="K184" i="1" s="1"/>
  <c r="J183" i="1"/>
  <c r="K183" i="1" s="1"/>
  <c r="J182" i="1"/>
  <c r="K182" i="1" s="1"/>
  <c r="J158" i="1"/>
  <c r="K158" i="1" s="1"/>
  <c r="L39" i="1" s="1"/>
  <c r="K163" i="1"/>
  <c r="J162" i="1"/>
  <c r="K162" i="1" s="1"/>
  <c r="J161" i="1"/>
  <c r="K161" i="1" s="1"/>
  <c r="J160" i="1"/>
  <c r="K160" i="1" s="1"/>
  <c r="J159" i="1"/>
  <c r="K159" i="1" s="1"/>
  <c r="J151" i="1"/>
  <c r="K151" i="1" s="1"/>
  <c r="J150" i="1"/>
  <c r="K150" i="1" s="1"/>
  <c r="J149" i="1"/>
  <c r="K149" i="1" s="1"/>
  <c r="J148" i="1"/>
  <c r="K148" i="1" s="1"/>
  <c r="J147" i="1"/>
  <c r="K147" i="1" s="1"/>
  <c r="J146" i="1"/>
  <c r="K146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L37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L15" i="1" s="1"/>
  <c r="J99" i="1"/>
  <c r="K99" i="1" s="1"/>
  <c r="J100" i="1"/>
  <c r="J101" i="1"/>
  <c r="K101" i="1" s="1"/>
  <c r="J102" i="1"/>
  <c r="K102" i="1" s="1"/>
  <c r="J103" i="1"/>
  <c r="K103" i="1" s="1"/>
  <c r="J98" i="1"/>
  <c r="K98" i="1" s="1"/>
  <c r="L14" i="1" s="1"/>
  <c r="K100" i="1"/>
  <c r="J73" i="1"/>
  <c r="K73" i="1" s="1"/>
  <c r="L12" i="1" s="1"/>
  <c r="J86" i="1"/>
  <c r="J87" i="1"/>
  <c r="K87" i="1" s="1"/>
  <c r="J88" i="1"/>
  <c r="K88" i="1" s="1"/>
  <c r="J89" i="1"/>
  <c r="K89" i="1" s="1"/>
  <c r="J90" i="1"/>
  <c r="K90" i="1" s="1"/>
  <c r="K86" i="1"/>
  <c r="L13" i="1" s="1"/>
  <c r="J74" i="1"/>
  <c r="K74" i="1" s="1"/>
  <c r="J75" i="1"/>
  <c r="K75" i="1" s="1"/>
  <c r="J76" i="1"/>
  <c r="K76" i="1" s="1"/>
  <c r="J77" i="1"/>
  <c r="K77" i="1" s="1"/>
  <c r="J78" i="1"/>
  <c r="K78" i="1" s="1"/>
  <c r="I34" i="1"/>
  <c r="I35" i="1"/>
  <c r="I36" i="1"/>
  <c r="I37" i="1"/>
  <c r="I38" i="1"/>
  <c r="I39" i="1"/>
  <c r="I40" i="1"/>
  <c r="I41" i="1"/>
  <c r="I42" i="1"/>
  <c r="I43" i="1"/>
  <c r="I44" i="1"/>
  <c r="I45" i="1"/>
  <c r="L10" i="1" s="1"/>
  <c r="I46" i="1"/>
  <c r="I47" i="1"/>
  <c r="I48" i="1"/>
  <c r="I49" i="1"/>
  <c r="I50" i="1"/>
  <c r="I51" i="1"/>
  <c r="I52" i="1"/>
  <c r="I53" i="1"/>
  <c r="I54" i="1"/>
  <c r="I55" i="1"/>
  <c r="I56" i="1"/>
  <c r="I57" i="1"/>
  <c r="L11" i="1" s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33" i="1"/>
  <c r="L9" i="1" s="1"/>
  <c r="J507" i="1"/>
  <c r="L293" i="1" l="1"/>
</calcChain>
</file>

<file path=xl/sharedStrings.xml><?xml version="1.0" encoding="utf-8"?>
<sst xmlns="http://schemas.openxmlformats.org/spreadsheetml/2006/main" count="715" uniqueCount="177">
  <si>
    <t>date</t>
  </si>
  <si>
    <t>ticker</t>
  </si>
  <si>
    <t>revenue_ets</t>
  </si>
  <si>
    <t>revenue_prophet</t>
  </si>
  <si>
    <t>revenue_sarima</t>
  </si>
  <si>
    <t>revenue_sarima_exog</t>
  </si>
  <si>
    <t>revenue_theta</t>
  </si>
  <si>
    <t>A005930</t>
  </si>
  <si>
    <t>A000660</t>
  </si>
  <si>
    <t>A051910</t>
  </si>
  <si>
    <t>A035420</t>
  </si>
  <si>
    <t>A005380</t>
  </si>
  <si>
    <t>A006400</t>
  </si>
  <si>
    <t>A035720</t>
  </si>
  <si>
    <t>A000270</t>
  </si>
  <si>
    <t>A068270</t>
  </si>
  <si>
    <t>A207940</t>
  </si>
  <si>
    <t>A042700</t>
  </si>
  <si>
    <t>A043150</t>
  </si>
  <si>
    <t>A131290</t>
  </si>
  <si>
    <t>A006910</t>
  </si>
  <si>
    <t>A140860</t>
  </si>
  <si>
    <t>A009150</t>
  </si>
  <si>
    <t>A095610</t>
  </si>
  <si>
    <t>A001440</t>
  </si>
  <si>
    <t>A000500</t>
  </si>
  <si>
    <t>A004000</t>
  </si>
  <si>
    <t>A010120</t>
  </si>
  <si>
    <t>A044820</t>
  </si>
  <si>
    <t>A010140</t>
  </si>
  <si>
    <t>A011780</t>
  </si>
  <si>
    <t>A033500</t>
  </si>
  <si>
    <t>A036190</t>
  </si>
  <si>
    <t>A042370</t>
  </si>
  <si>
    <t>A042660</t>
  </si>
  <si>
    <t>A375500</t>
  </si>
  <si>
    <t>A052690</t>
  </si>
  <si>
    <t>A071280</t>
  </si>
  <si>
    <t>A077360</t>
  </si>
  <si>
    <t>A082740</t>
  </si>
  <si>
    <t>A103140</t>
  </si>
  <si>
    <t>A103590</t>
  </si>
  <si>
    <t>A105630</t>
  </si>
  <si>
    <t>A114810</t>
  </si>
  <si>
    <t>A123700</t>
  </si>
  <si>
    <t>A073240</t>
  </si>
  <si>
    <t>A002350</t>
  </si>
  <si>
    <t>A298040</t>
  </si>
  <si>
    <t>A007690</t>
  </si>
  <si>
    <t>A131970</t>
  </si>
  <si>
    <t>A033100</t>
  </si>
  <si>
    <t>A098120</t>
  </si>
  <si>
    <t>A214150</t>
  </si>
  <si>
    <t>A009160</t>
  </si>
  <si>
    <t>A051910</t>
    <phoneticPr fontId="3" type="noConversion"/>
  </si>
  <si>
    <t>A035420</t>
    <phoneticPr fontId="3" type="noConversion"/>
  </si>
  <si>
    <t>A005380</t>
    <phoneticPr fontId="3" type="noConversion"/>
  </si>
  <si>
    <t>A068270</t>
    <phoneticPr fontId="3" type="noConversion"/>
  </si>
  <si>
    <t>A207940</t>
    <phoneticPr fontId="3" type="noConversion"/>
  </si>
  <si>
    <t>A043150</t>
    <phoneticPr fontId="3" type="noConversion"/>
  </si>
  <si>
    <t>A095610</t>
    <phoneticPr fontId="3" type="noConversion"/>
  </si>
  <si>
    <t>A000500</t>
    <phoneticPr fontId="3" type="noConversion"/>
  </si>
  <si>
    <t>A004000</t>
    <phoneticPr fontId="3" type="noConversion"/>
  </si>
  <si>
    <t>A044820</t>
    <phoneticPr fontId="3" type="noConversion"/>
  </si>
  <si>
    <t>A011780</t>
    <phoneticPr fontId="3" type="noConversion"/>
  </si>
  <si>
    <t>A033500</t>
    <phoneticPr fontId="3" type="noConversion"/>
  </si>
  <si>
    <t>A036190</t>
    <phoneticPr fontId="3" type="noConversion"/>
  </si>
  <si>
    <t>A042370</t>
    <phoneticPr fontId="3" type="noConversion"/>
  </si>
  <si>
    <t>A042660</t>
    <phoneticPr fontId="3" type="noConversion"/>
  </si>
  <si>
    <t>A052690</t>
    <phoneticPr fontId="3" type="noConversion"/>
  </si>
  <si>
    <t>A071280</t>
    <phoneticPr fontId="3" type="noConversion"/>
  </si>
  <si>
    <t>A077360</t>
    <phoneticPr fontId="3" type="noConversion"/>
  </si>
  <si>
    <t>A082740</t>
    <phoneticPr fontId="3" type="noConversion"/>
  </si>
  <si>
    <t>A103140</t>
    <phoneticPr fontId="3" type="noConversion"/>
  </si>
  <si>
    <t>A103590</t>
    <phoneticPr fontId="3" type="noConversion"/>
  </si>
  <si>
    <t>A105630</t>
    <phoneticPr fontId="3" type="noConversion"/>
  </si>
  <si>
    <t>A114810</t>
    <phoneticPr fontId="3" type="noConversion"/>
  </si>
  <si>
    <t>A009160</t>
    <phoneticPr fontId="3" type="noConversion"/>
  </si>
  <si>
    <t>A123700</t>
    <phoneticPr fontId="3" type="noConversion"/>
  </si>
  <si>
    <t>A073240</t>
    <phoneticPr fontId="3" type="noConversion"/>
  </si>
  <si>
    <t>A002350</t>
    <phoneticPr fontId="3" type="noConversion"/>
  </si>
  <si>
    <t>A298040</t>
    <phoneticPr fontId="3" type="noConversion"/>
  </si>
  <si>
    <t>A007690</t>
    <phoneticPr fontId="3" type="noConversion"/>
  </si>
  <si>
    <t>A131970</t>
    <phoneticPr fontId="3" type="noConversion"/>
  </si>
  <si>
    <t>A098120</t>
    <phoneticPr fontId="3" type="noConversion"/>
  </si>
  <si>
    <t>A214150</t>
    <phoneticPr fontId="3" type="noConversion"/>
  </si>
  <si>
    <t>NAVER</t>
    <phoneticPr fontId="3" type="noConversion"/>
  </si>
  <si>
    <t>A035720</t>
    <phoneticPr fontId="3" type="noConversion"/>
  </si>
  <si>
    <t>A042700</t>
    <phoneticPr fontId="3" type="noConversion"/>
  </si>
  <si>
    <t>한미반도체</t>
    <phoneticPr fontId="3" type="noConversion"/>
  </si>
  <si>
    <t>당분간 1800억 전후 분기 매출 전망</t>
    <phoneticPr fontId="3" type="noConversion"/>
  </si>
  <si>
    <t>바텍</t>
    <phoneticPr fontId="3" type="noConversion"/>
  </si>
  <si>
    <t>당분간 1000억 수준의 분기 매출 전망</t>
    <phoneticPr fontId="3" type="noConversion"/>
  </si>
  <si>
    <t>A131290</t>
    <phoneticPr fontId="3" type="noConversion"/>
  </si>
  <si>
    <t xml:space="preserve">티에스이 </t>
    <phoneticPr fontId="3" type="noConversion"/>
  </si>
  <si>
    <t xml:space="preserve">내년 분기 1000억 중반 수준 매출 전망, 
성장세 양호할 것으로 기대됨 </t>
    <phoneticPr fontId="3" type="noConversion"/>
  </si>
  <si>
    <t>A140860</t>
    <phoneticPr fontId="3" type="noConversion"/>
  </si>
  <si>
    <t>파크시스템스</t>
    <phoneticPr fontId="3" type="noConversion"/>
  </si>
  <si>
    <t>A009150</t>
    <phoneticPr fontId="3" type="noConversion"/>
  </si>
  <si>
    <t>A001440</t>
    <phoneticPr fontId="3" type="noConversion"/>
  </si>
  <si>
    <t>NA</t>
    <phoneticPr fontId="3" type="noConversion"/>
  </si>
  <si>
    <t>A010120</t>
    <phoneticPr fontId="3" type="noConversion"/>
  </si>
  <si>
    <t>LG ELECTRIC</t>
    <phoneticPr fontId="3" type="noConversion"/>
  </si>
  <si>
    <t>A010140</t>
    <phoneticPr fontId="3" type="noConversion"/>
  </si>
  <si>
    <t xml:space="preserve">A011780 </t>
    <phoneticPr fontId="3" type="noConversion"/>
  </si>
  <si>
    <r>
      <rPr>
        <sz val="11"/>
        <color theme="1"/>
        <rFont val="굴림"/>
        <family val="3"/>
        <charset val="129"/>
      </rPr>
      <t>실제</t>
    </r>
    <phoneticPr fontId="3" type="noConversion"/>
  </si>
  <si>
    <r>
      <t>LG</t>
    </r>
    <r>
      <rPr>
        <sz val="11"/>
        <color theme="1"/>
        <rFont val="굴림"/>
        <family val="3"/>
        <charset val="129"/>
      </rPr>
      <t>화학</t>
    </r>
    <phoneticPr fontId="3" type="noConversion"/>
  </si>
  <si>
    <r>
      <rPr>
        <sz val="11"/>
        <color theme="1"/>
        <rFont val="굴림"/>
        <family val="3"/>
        <charset val="129"/>
      </rPr>
      <t>현대차</t>
    </r>
    <phoneticPr fontId="3" type="noConversion"/>
  </si>
  <si>
    <r>
      <rPr>
        <sz val="11"/>
        <color theme="1"/>
        <rFont val="굴림"/>
        <family val="3"/>
        <charset val="129"/>
      </rPr>
      <t>카카오</t>
    </r>
    <phoneticPr fontId="3" type="noConversion"/>
  </si>
  <si>
    <r>
      <rPr>
        <sz val="11"/>
        <color theme="1"/>
        <rFont val="굴림"/>
        <family val="3"/>
        <charset val="129"/>
      </rPr>
      <t>기아</t>
    </r>
    <phoneticPr fontId="3" type="noConversion"/>
  </si>
  <si>
    <r>
      <rPr>
        <sz val="11"/>
        <color theme="1"/>
        <rFont val="굴림"/>
        <family val="3"/>
        <charset val="129"/>
      </rPr>
      <t>셀트리온</t>
    </r>
    <phoneticPr fontId="3" type="noConversion"/>
  </si>
  <si>
    <r>
      <rPr>
        <sz val="11"/>
        <color theme="1"/>
        <rFont val="굴림"/>
        <family val="3"/>
        <charset val="129"/>
      </rPr>
      <t>삼성전기</t>
    </r>
    <phoneticPr fontId="3" type="noConversion"/>
  </si>
  <si>
    <r>
      <rPr>
        <sz val="11"/>
        <color theme="1"/>
        <rFont val="굴림"/>
        <family val="3"/>
        <charset val="129"/>
      </rPr>
      <t>대한전선</t>
    </r>
    <phoneticPr fontId="3" type="noConversion"/>
  </si>
  <si>
    <r>
      <rPr>
        <sz val="11"/>
        <color theme="1"/>
        <rFont val="굴림"/>
        <family val="3"/>
        <charset val="129"/>
      </rPr>
      <t>가온전선</t>
    </r>
    <phoneticPr fontId="3" type="noConversion"/>
  </si>
  <si>
    <r>
      <rPr>
        <sz val="11"/>
        <color theme="1"/>
        <rFont val="굴림"/>
        <family val="3"/>
        <charset val="129"/>
      </rPr>
      <t>삼성중공업</t>
    </r>
    <phoneticPr fontId="3" type="noConversion"/>
  </si>
  <si>
    <r>
      <rPr>
        <sz val="11"/>
        <color theme="1"/>
        <rFont val="굴림"/>
        <family val="3"/>
        <charset val="129"/>
      </rPr>
      <t>금호석유화학</t>
    </r>
    <phoneticPr fontId="3" type="noConversion"/>
  </si>
  <si>
    <r>
      <rPr>
        <sz val="11"/>
        <color theme="1"/>
        <rFont val="굴림"/>
        <family val="3"/>
        <charset val="129"/>
      </rPr>
      <t>향후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phoneticPr fontId="3" type="noConversion"/>
  </si>
  <si>
    <r>
      <t>11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~ 12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수준의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유지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phoneticPr fontId="3" type="noConversion"/>
  </si>
  <si>
    <r>
      <rPr>
        <sz val="11"/>
        <color theme="1"/>
        <rFont val="굴림"/>
        <family val="3"/>
        <charset val="129"/>
      </rPr>
      <t>삼성</t>
    </r>
    <r>
      <rPr>
        <sz val="11"/>
        <color theme="1"/>
        <rFont val="Times New Roman"/>
        <family val="1"/>
      </rPr>
      <t>SDI</t>
    </r>
    <phoneticPr fontId="3" type="noConversion"/>
  </si>
  <si>
    <r>
      <rPr>
        <sz val="11"/>
        <color theme="1"/>
        <rFont val="굴림"/>
        <family val="3"/>
        <charset val="129"/>
      </rPr>
      <t>매분기</t>
    </r>
    <r>
      <rPr>
        <sz val="11"/>
        <color theme="1"/>
        <rFont val="Times New Roman"/>
        <family val="1"/>
      </rPr>
      <t xml:space="preserve"> 2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후반</t>
    </r>
    <r>
      <rPr>
        <sz val="11"/>
        <color theme="1"/>
        <rFont val="Times New Roman"/>
        <family val="1"/>
      </rPr>
      <t xml:space="preserve"> ~ 3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사이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
향후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r>
      <rPr>
        <sz val="11"/>
        <color theme="1"/>
        <rFont val="Times New Roman"/>
        <family val="1"/>
      </rPr>
      <t xml:space="preserve"> Flat</t>
    </r>
    <phoneticPr fontId="3" type="noConversion"/>
  </si>
  <si>
    <r>
      <rPr>
        <sz val="11"/>
        <color theme="1"/>
        <rFont val="굴림"/>
        <family val="3"/>
        <charset val="129"/>
      </rPr>
      <t>향후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분기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2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수준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지속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phoneticPr fontId="3" type="noConversion"/>
  </si>
  <si>
    <r>
      <rPr>
        <sz val="11"/>
        <color theme="1"/>
        <rFont val="굴림"/>
        <family val="3"/>
        <charset val="129"/>
      </rPr>
      <t>애널리스예상과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다소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편차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존재</t>
    </r>
    <r>
      <rPr>
        <sz val="11"/>
        <color theme="1"/>
        <rFont val="Times New Roman"/>
        <family val="1"/>
      </rPr>
      <t xml:space="preserve"> 
</t>
    </r>
    <r>
      <rPr>
        <sz val="11"/>
        <color theme="1"/>
        <rFont val="굴림"/>
        <family val="3"/>
        <charset val="129"/>
      </rPr>
      <t>향후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확인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굴림"/>
        <family val="3"/>
        <charset val="129"/>
      </rPr>
      <t>누가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맞을까</t>
    </r>
    <r>
      <rPr>
        <sz val="11"/>
        <color theme="1"/>
        <rFont val="Times New Roman"/>
        <family val="1"/>
      </rPr>
      <t>&gt;)</t>
    </r>
    <phoneticPr fontId="3" type="noConversion"/>
  </si>
  <si>
    <r>
      <rPr>
        <sz val="11"/>
        <color theme="1"/>
        <rFont val="굴림"/>
        <family val="3"/>
        <charset val="129"/>
      </rPr>
      <t>내년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분기</t>
    </r>
    <r>
      <rPr>
        <sz val="11"/>
        <color theme="1"/>
        <rFont val="Times New Roman"/>
        <family val="1"/>
      </rPr>
      <t xml:space="preserve"> 3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r>
      <rPr>
        <sz val="11"/>
        <color theme="1"/>
        <rFont val="Times New Roman"/>
        <family val="1"/>
      </rPr>
      <t xml:space="preserve">, 
high sigle digit </t>
    </r>
    <r>
      <rPr>
        <sz val="11"/>
        <color theme="1"/>
        <rFont val="굴림"/>
        <family val="3"/>
        <charset val="129"/>
      </rPr>
      <t>수준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성장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예상</t>
    </r>
    <r>
      <rPr>
        <sz val="11"/>
        <color theme="1"/>
        <rFont val="Times New Roman"/>
        <family val="1"/>
      </rPr>
      <t xml:space="preserve"> </t>
    </r>
    <phoneticPr fontId="3" type="noConversion"/>
  </si>
  <si>
    <r>
      <rPr>
        <sz val="11"/>
        <color theme="1"/>
        <rFont val="굴림"/>
        <family val="3"/>
        <charset val="129"/>
      </rPr>
      <t>내년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분기</t>
    </r>
    <r>
      <rPr>
        <sz val="11"/>
        <color theme="1"/>
        <rFont val="Times New Roman"/>
        <family val="1"/>
      </rPr>
      <t xml:space="preserve"> 9000</t>
    </r>
    <r>
      <rPr>
        <sz val="11"/>
        <color theme="1"/>
        <rFont val="굴림"/>
        <family val="3"/>
        <charset val="129"/>
      </rPr>
      <t>억</t>
    </r>
    <r>
      <rPr>
        <sz val="11"/>
        <color theme="1"/>
        <rFont val="Times New Roman"/>
        <family val="1"/>
      </rPr>
      <t xml:space="preserve"> ~ 1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r>
      <rPr>
        <sz val="11"/>
        <color theme="1"/>
        <rFont val="Times New Roman"/>
        <family val="1"/>
      </rPr>
      <t>, 
26</t>
    </r>
    <r>
      <rPr>
        <sz val="11"/>
        <color theme="1"/>
        <rFont val="굴림"/>
        <family val="3"/>
        <charset val="129"/>
      </rPr>
      <t>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연간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4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수준</t>
    </r>
    <r>
      <rPr>
        <sz val="11"/>
        <color theme="1"/>
        <rFont val="Times New Roman"/>
        <family val="1"/>
      </rPr>
      <t>, 25</t>
    </r>
    <r>
      <rPr>
        <sz val="11"/>
        <color theme="1"/>
        <rFont val="굴림"/>
        <family val="3"/>
        <charset val="129"/>
      </rPr>
      <t>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대비</t>
    </r>
    <r>
      <rPr>
        <sz val="11"/>
        <color theme="1"/>
        <rFont val="Times New Roman"/>
        <family val="1"/>
      </rPr>
      <t xml:space="preserve"> 10% </t>
    </r>
    <r>
      <rPr>
        <sz val="11"/>
        <color theme="1"/>
        <rFont val="굴림"/>
        <family val="3"/>
        <charset val="129"/>
      </rPr>
      <t>전후</t>
    </r>
    <r>
      <rPr>
        <sz val="11"/>
        <color theme="1"/>
        <rFont val="Times New Roman"/>
        <family val="1"/>
      </rPr>
      <t xml:space="preserve"> 
</t>
    </r>
    <r>
      <rPr>
        <sz val="11"/>
        <color theme="1"/>
        <rFont val="굴림"/>
        <family val="3"/>
        <charset val="129"/>
      </rPr>
      <t>양호한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성장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phoneticPr fontId="3" type="noConversion"/>
  </si>
  <si>
    <r>
      <rPr>
        <sz val="11"/>
        <color theme="1"/>
        <rFont val="굴림"/>
        <family val="3"/>
        <charset val="129"/>
      </rPr>
      <t>올해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2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6</t>
    </r>
    <r>
      <rPr>
        <sz val="11"/>
        <color theme="1"/>
        <rFont val="굴림"/>
        <family val="3"/>
        <charset val="129"/>
      </rPr>
      <t>천억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예상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굴림"/>
        <family val="3"/>
        <charset val="129"/>
      </rPr>
      <t>내년</t>
    </r>
    <r>
      <rPr>
        <sz val="11"/>
        <color theme="1"/>
        <rFont val="Times New Roman"/>
        <family val="1"/>
      </rPr>
      <t xml:space="preserve"> 3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이상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phoneticPr fontId="3" type="noConversion"/>
  </si>
  <si>
    <r>
      <rPr>
        <sz val="11"/>
        <color theme="1"/>
        <rFont val="굴림"/>
        <family val="3"/>
        <charset val="129"/>
      </rPr>
      <t>롯데정밀화학</t>
    </r>
    <r>
      <rPr>
        <sz val="11"/>
        <color theme="1"/>
        <rFont val="Times New Roman"/>
        <family val="1"/>
      </rPr>
      <t xml:space="preserve"> </t>
    </r>
    <phoneticPr fontId="3" type="noConversion"/>
  </si>
  <si>
    <r>
      <rPr>
        <sz val="11"/>
        <color theme="1"/>
        <rFont val="굴림"/>
        <family val="3"/>
        <charset val="129"/>
      </rPr>
      <t>내년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분기</t>
    </r>
    <r>
      <rPr>
        <sz val="11"/>
        <color theme="1"/>
        <rFont val="Times New Roman"/>
        <family val="1"/>
      </rPr>
      <t xml:space="preserve"> 1.3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수준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r>
      <rPr>
        <sz val="11"/>
        <color theme="1"/>
        <rFont val="Times New Roman"/>
        <family val="1"/>
      </rPr>
      <t xml:space="preserve"> </t>
    </r>
    <phoneticPr fontId="3" type="noConversion"/>
  </si>
  <si>
    <r>
      <rPr>
        <sz val="11"/>
        <color theme="1"/>
        <rFont val="굴림"/>
        <family val="3"/>
        <charset val="129"/>
      </rPr>
      <t>올해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예상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10.7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굴림"/>
        <family val="3"/>
        <charset val="129"/>
      </rPr>
      <t>내년</t>
    </r>
    <r>
      <rPr>
        <sz val="11"/>
        <color theme="1"/>
        <rFont val="Times New Roman"/>
        <family val="1"/>
      </rPr>
      <t xml:space="preserve"> 11</t>
    </r>
    <r>
      <rPr>
        <sz val="11"/>
        <color theme="1"/>
        <rFont val="굴림"/>
        <family val="3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수준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예상</t>
    </r>
    <r>
      <rPr>
        <sz val="11"/>
        <color theme="1"/>
        <rFont val="Times New Roman"/>
        <family val="1"/>
      </rPr>
      <t xml:space="preserve"> </t>
    </r>
    <phoneticPr fontId="3" type="noConversion"/>
  </si>
  <si>
    <r>
      <t>25</t>
    </r>
    <r>
      <rPr>
        <sz val="11"/>
        <color theme="1"/>
        <rFont val="굴림"/>
        <family val="3"/>
        <charset val="129"/>
      </rPr>
      <t>년</t>
    </r>
    <r>
      <rPr>
        <sz val="11"/>
        <color theme="1"/>
        <rFont val="Times New Roman"/>
        <family val="1"/>
      </rPr>
      <t>, 26</t>
    </r>
    <r>
      <rPr>
        <sz val="11"/>
        <color theme="1"/>
        <rFont val="굴림"/>
        <family val="3"/>
        <charset val="129"/>
      </rPr>
      <t>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유사한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흐름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유지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굴림"/>
        <family val="3"/>
        <charset val="129"/>
      </rPr>
      <t>전망</t>
    </r>
    <phoneticPr fontId="3" type="noConversion"/>
  </si>
  <si>
    <t>사명</t>
    <phoneticPr fontId="3" type="noConversion"/>
  </si>
  <si>
    <t>코드</t>
    <phoneticPr fontId="3" type="noConversion"/>
  </si>
  <si>
    <t xml:space="preserve">모형 예측, 증권사 예측 모두 하회하는 실망
스러운 매출 성장. 4분기 실적 흐름 중요 </t>
    <phoneticPr fontId="3" type="noConversion"/>
  </si>
  <si>
    <r>
      <t>3</t>
    </r>
    <r>
      <rPr>
        <sz val="11"/>
        <color theme="1"/>
        <rFont val="굴림"/>
        <family val="3"/>
        <charset val="129"/>
      </rPr>
      <t>분기 예상 매출</t>
    </r>
    <phoneticPr fontId="3" type="noConversion"/>
  </si>
  <si>
    <r>
      <rPr>
        <sz val="11"/>
        <color theme="1"/>
        <rFont val="굴림"/>
        <family val="3"/>
        <charset val="129"/>
      </rPr>
      <t>애널리스트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1"/>
        <charset val="129"/>
      </rPr>
      <t>매출 전망</t>
    </r>
    <phoneticPr fontId="3" type="noConversion"/>
  </si>
  <si>
    <t>A005930</t>
    <phoneticPr fontId="3" type="noConversion"/>
  </si>
  <si>
    <t>금화피에스시</t>
    <phoneticPr fontId="3" type="noConversion"/>
  </si>
  <si>
    <t xml:space="preserve">올해 3600억 매출, 내년 4000억 매출로 완만하지만
꾸준한 성장 예상됨 </t>
    <phoneticPr fontId="3" type="noConversion"/>
  </si>
  <si>
    <t>비츠로테크</t>
    <phoneticPr fontId="3" type="noConversion"/>
  </si>
  <si>
    <t>올해 매출 전망은 약 4300억 수준으로 전년과 비슷할 
것으로 예상. 내년은 4500 ~5000억 사이의 완만한 
성장 전망</t>
    <phoneticPr fontId="3" type="noConversion"/>
  </si>
  <si>
    <t>한화오션</t>
    <phoneticPr fontId="3" type="noConversion"/>
  </si>
  <si>
    <r>
      <t>25</t>
    </r>
    <r>
      <rPr>
        <sz val="11"/>
        <color theme="1"/>
        <rFont val="맑은 고딕"/>
        <family val="2"/>
      </rPr>
      <t>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예상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약</t>
    </r>
    <r>
      <rPr>
        <sz val="11"/>
        <color theme="1"/>
        <rFont val="Times New Roman"/>
        <family val="1"/>
      </rPr>
      <t xml:space="preserve"> 13</t>
    </r>
    <r>
      <rPr>
        <sz val="11"/>
        <color theme="1"/>
        <rFont val="맑은 고딕"/>
        <family val="2"/>
      </rPr>
      <t>조</t>
    </r>
    <r>
      <rPr>
        <sz val="11"/>
        <color theme="1"/>
        <rFont val="Times New Roman"/>
        <family val="1"/>
      </rPr>
      <t>, 26</t>
    </r>
    <r>
      <rPr>
        <sz val="11"/>
        <color theme="1"/>
        <rFont val="맑은 고딕"/>
        <family val="2"/>
      </rPr>
      <t>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약</t>
    </r>
    <r>
      <rPr>
        <sz val="11"/>
        <color theme="1"/>
        <rFont val="Times New Roman"/>
        <family val="1"/>
      </rPr>
      <t xml:space="preserve"> 14</t>
    </r>
    <r>
      <rPr>
        <sz val="11"/>
        <color theme="1"/>
        <rFont val="맑은 고딕"/>
        <family val="2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예상</t>
    </r>
    <phoneticPr fontId="3" type="noConversion"/>
  </si>
  <si>
    <t>A375500</t>
    <phoneticPr fontId="3" type="noConversion"/>
  </si>
  <si>
    <t>DL이앤씨</t>
    <phoneticPr fontId="3" type="noConversion"/>
  </si>
  <si>
    <r>
      <rPr>
        <sz val="11"/>
        <color theme="1"/>
        <rFont val="맑은 고딕"/>
        <family val="2"/>
      </rPr>
      <t>올해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예상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매출</t>
    </r>
    <r>
      <rPr>
        <sz val="11"/>
        <color theme="1"/>
        <rFont val="Times New Roman"/>
        <family val="1"/>
      </rPr>
      <t xml:space="preserve"> 7.5</t>
    </r>
    <r>
      <rPr>
        <sz val="11"/>
        <color theme="1"/>
        <rFont val="맑은 고딕"/>
        <family val="2"/>
      </rPr>
      <t>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맑은 고딕"/>
        <family val="2"/>
      </rPr>
      <t>내년</t>
    </r>
    <r>
      <rPr>
        <sz val="11"/>
        <color theme="1"/>
        <rFont val="Times New Roman"/>
        <family val="1"/>
      </rPr>
      <t xml:space="preserve"> 8.2</t>
    </r>
    <r>
      <rPr>
        <sz val="11"/>
        <color theme="1"/>
        <rFont val="맑은 고딕"/>
        <family val="2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수준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예상</t>
    </r>
    <r>
      <rPr>
        <sz val="11"/>
        <color theme="1"/>
        <rFont val="Times New Roman"/>
        <family val="1"/>
      </rPr>
      <t xml:space="preserve"> (10% </t>
    </r>
    <r>
      <rPr>
        <sz val="11"/>
        <color theme="1"/>
        <rFont val="맑은 고딕"/>
        <family val="1"/>
        <charset val="129"/>
      </rPr>
      <t xml:space="preserve">전후 매출 성장, 최근 4% 후반 수준의 </t>
    </r>
    <r>
      <rPr>
        <sz val="11"/>
        <color theme="1"/>
        <rFont val="Times New Roman"/>
        <family val="1"/>
      </rPr>
      <t>ROE</t>
    </r>
    <r>
      <rPr>
        <sz val="11"/>
        <color theme="1"/>
        <rFont val="맑은 고딕"/>
        <family val="1"/>
        <charset val="129"/>
      </rPr>
      <t>는 약점)</t>
    </r>
    <phoneticPr fontId="3" type="noConversion"/>
  </si>
  <si>
    <t>로체시스템</t>
    <phoneticPr fontId="3" type="noConversion"/>
  </si>
  <si>
    <t>올해 1400억 매출 , 매년 1200억 매출로 역성장 전망</t>
    <phoneticPr fontId="3" type="noConversion"/>
  </si>
  <si>
    <t>덕산하이메탈</t>
    <phoneticPr fontId="3" type="noConversion"/>
  </si>
  <si>
    <t>올해 2200억, 내년 2560억 수준 매출 전망</t>
    <phoneticPr fontId="3" type="noConversion"/>
  </si>
  <si>
    <t>한화엔진</t>
    <phoneticPr fontId="3" type="noConversion"/>
  </si>
  <si>
    <r>
      <rPr>
        <sz val="11"/>
        <color theme="1"/>
        <rFont val="맑은 고딕"/>
        <family val="2"/>
      </rPr>
      <t>올해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맑은 고딕"/>
        <family val="2"/>
      </rPr>
      <t>내년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비슷한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수준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유지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전망</t>
    </r>
    <r>
      <rPr>
        <sz val="11"/>
        <color theme="1"/>
        <rFont val="Times New Roman"/>
        <family val="1"/>
      </rPr>
      <t xml:space="preserve"> </t>
    </r>
    <phoneticPr fontId="3" type="noConversion"/>
  </si>
  <si>
    <t xml:space="preserve"> 풍산</t>
    <phoneticPr fontId="3" type="noConversion"/>
  </si>
  <si>
    <t>일진전기</t>
    <phoneticPr fontId="3" type="noConversion"/>
  </si>
  <si>
    <t xml:space="preserve">A103590 </t>
    <phoneticPr fontId="3" type="noConversion"/>
  </si>
  <si>
    <r>
      <rPr>
        <sz val="11"/>
        <color theme="1"/>
        <rFont val="맑은 고딕"/>
        <family val="2"/>
      </rPr>
      <t>올해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매출</t>
    </r>
    <r>
      <rPr>
        <sz val="11"/>
        <color theme="1"/>
        <rFont val="Times New Roman"/>
        <family val="1"/>
      </rPr>
      <t xml:space="preserve"> 1.9</t>
    </r>
    <r>
      <rPr>
        <sz val="11"/>
        <color theme="1"/>
        <rFont val="맑은 고딕"/>
        <family val="2"/>
      </rPr>
      <t>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맑은 고딕"/>
        <family val="2"/>
      </rPr>
      <t>내년</t>
    </r>
    <r>
      <rPr>
        <sz val="11"/>
        <color theme="1"/>
        <rFont val="Times New Roman"/>
        <family val="1"/>
      </rPr>
      <t xml:space="preserve"> 2.4</t>
    </r>
    <r>
      <rPr>
        <sz val="11"/>
        <color theme="1"/>
        <rFont val="맑은 고딕"/>
        <family val="2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매출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예상</t>
    </r>
    <r>
      <rPr>
        <sz val="11"/>
        <color theme="1"/>
        <rFont val="Times New Roman"/>
        <family val="1"/>
      </rPr>
      <t xml:space="preserve"> </t>
    </r>
    <phoneticPr fontId="3" type="noConversion"/>
  </si>
  <si>
    <t>한세실업</t>
    <phoneticPr fontId="3" type="noConversion"/>
  </si>
  <si>
    <t>한솔아이원스</t>
    <phoneticPr fontId="3" type="noConversion"/>
  </si>
  <si>
    <t>올해 1900억, 내년 2000억 수준 매출 전망</t>
    <phoneticPr fontId="3" type="noConversion"/>
  </si>
  <si>
    <t>SJM</t>
    <phoneticPr fontId="3" type="noConversion"/>
  </si>
  <si>
    <t xml:space="preserve">올해 2000억, 내년 2000억 수준 매출 전망 </t>
    <phoneticPr fontId="3" type="noConversion"/>
  </si>
  <si>
    <t>효성중공업</t>
    <phoneticPr fontId="3" type="noConversion"/>
  </si>
  <si>
    <r>
      <rPr>
        <sz val="11"/>
        <color theme="1"/>
        <rFont val="맑은 고딕"/>
        <family val="2"/>
      </rPr>
      <t>올해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</rPr>
      <t>매출</t>
    </r>
    <r>
      <rPr>
        <sz val="11"/>
        <color theme="1"/>
        <rFont val="Times New Roman"/>
        <family val="1"/>
      </rPr>
      <t xml:space="preserve"> 5.3</t>
    </r>
    <r>
      <rPr>
        <sz val="11"/>
        <color theme="1"/>
        <rFont val="맑은 고딕"/>
        <family val="2"/>
      </rPr>
      <t>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맑은 고딕"/>
        <family val="2"/>
      </rPr>
      <t>내년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2"/>
      </rPr>
      <t>6.2</t>
    </r>
    <r>
      <rPr>
        <sz val="11"/>
        <color theme="1"/>
        <rFont val="맑은 고딕"/>
        <family val="2"/>
        <charset val="129"/>
      </rPr>
      <t xml:space="preserve">조 매출 전망, 성장성 나쁘지 않음 </t>
    </r>
    <phoneticPr fontId="3" type="noConversion"/>
  </si>
  <si>
    <t>국도화학</t>
    <phoneticPr fontId="3" type="noConversion"/>
  </si>
  <si>
    <r>
      <rPr>
        <sz val="11"/>
        <color theme="1"/>
        <rFont val="맑은 고딕"/>
        <family val="2"/>
        <charset val="129"/>
      </rPr>
      <t>올해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  <charset val="129"/>
      </rPr>
      <t>매출</t>
    </r>
    <r>
      <rPr>
        <sz val="11"/>
        <color theme="1"/>
        <rFont val="Times New Roman"/>
        <family val="1"/>
      </rPr>
      <t xml:space="preserve"> 1.4</t>
    </r>
    <r>
      <rPr>
        <sz val="11"/>
        <color theme="1"/>
        <rFont val="맑은 고딕"/>
        <family val="2"/>
        <charset val="129"/>
      </rPr>
      <t>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  <charset val="129"/>
      </rPr>
      <t>내년도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  <charset val="129"/>
      </rPr>
      <t>비숫한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  <charset val="129"/>
      </rPr>
      <t>수준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  <charset val="129"/>
      </rPr>
      <t>유지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2"/>
        <charset val="129"/>
      </rPr>
      <t>전망</t>
    </r>
    <r>
      <rPr>
        <sz val="11"/>
        <color theme="1"/>
        <rFont val="Times New Roman"/>
        <family val="2"/>
        <charset val="129"/>
      </rPr>
      <t xml:space="preserve">
(AI </t>
    </r>
    <r>
      <rPr>
        <sz val="11"/>
        <color theme="1"/>
        <rFont val="맑은 고딕"/>
        <family val="2"/>
        <charset val="129"/>
      </rPr>
      <t xml:space="preserve">전망, 애널리스트 전망 모두 크게 빗나갔으나 </t>
    </r>
    <r>
      <rPr>
        <sz val="11"/>
        <color theme="1"/>
        <rFont val="Times New Roman"/>
        <family val="2"/>
      </rPr>
      <t>AI</t>
    </r>
    <r>
      <rPr>
        <sz val="11"/>
        <color theme="1"/>
        <rFont val="맑은 고딕"/>
        <family val="2"/>
        <charset val="129"/>
      </rPr>
      <t>가 그나마 선방)</t>
    </r>
    <phoneticPr fontId="3" type="noConversion"/>
  </si>
  <si>
    <t>SIMPAC</t>
    <phoneticPr fontId="3" type="noConversion"/>
  </si>
  <si>
    <t>올해 매출 1.1조, 매년 매출 1.4천억 예상. 매출 성장 두르러지지만 낮은 영업이익률 부담</t>
    <phoneticPr fontId="3" type="noConversion"/>
  </si>
  <si>
    <t>클래시스</t>
    <phoneticPr fontId="3" type="noConversion"/>
  </si>
  <si>
    <t xml:space="preserve">올해 3400억, 내년 4000억 이상 매출 전망 </t>
    <phoneticPr fontId="3" type="noConversion"/>
  </si>
  <si>
    <t>마이크로콘텍솔</t>
    <phoneticPr fontId="3" type="noConversion"/>
  </si>
  <si>
    <t>올해 965억, 내년 1040억 매출 전망, 올해는 성장  good , 내년은 ?</t>
    <phoneticPr fontId="3" type="noConversion"/>
  </si>
  <si>
    <t>재룡전기</t>
    <phoneticPr fontId="3" type="noConversion"/>
  </si>
  <si>
    <t>올해 2484억, 내년 약 3,000억 전망. 올 3분기 매출부터 관심가질 필요</t>
    <phoneticPr fontId="3" type="noConversion"/>
  </si>
  <si>
    <t>두산테스나</t>
    <phoneticPr fontId="3" type="noConversion"/>
  </si>
  <si>
    <t xml:space="preserve">올해 매출 3000억, 내년 3230억 전망, 올 3분기 매출이 850억 이상 서프라이즈가 나올 경우 내년 매출 성장은 더욱 커질 것으로 기대 </t>
    <phoneticPr fontId="3" type="noConversion"/>
  </si>
  <si>
    <t>보성파워텍</t>
    <phoneticPr fontId="3" type="noConversion"/>
  </si>
  <si>
    <t>올해 매출 1740억, 내년 매출 2400억 전망. 올 3분기 매출이 만약 450억 이상 보고 될 경우 내년 매출 예상치 상향될 가능성 높음</t>
    <phoneticPr fontId="3" type="noConversion"/>
  </si>
  <si>
    <t>A033100</t>
    <phoneticPr fontId="3" type="noConversion"/>
  </si>
  <si>
    <t>A006910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</si>
</sst>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</numFmts>
  <fonts count="1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1"/>
      <color theme="1"/>
      <name val="Times New Roman"/>
      <family val="1"/>
    </font>
    <font>
      <sz val="11"/>
      <color theme="1"/>
      <name val="맑은 고딕"/>
      <family val="1"/>
      <charset val="129"/>
    </font>
    <font>
      <sz val="11"/>
      <color theme="1"/>
      <name val="Times New Roman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</font>
    <font>
      <sz val="11"/>
      <color theme="1"/>
      <name val="Times New Roman"/>
      <family val="2"/>
    </font>
    <font>
      <sz val="11"/>
      <color theme="1"/>
      <name val="Times New Roman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  <xf numFmtId="41" fontId="4" fillId="0" borderId="0" xfId="1" applyFont="1" applyAlignment="1"/>
    <xf numFmtId="41" fontId="5" fillId="0" borderId="0" xfId="1" applyFont="1" applyAlignment="1"/>
    <xf numFmtId="41" fontId="6" fillId="0" borderId="0" xfId="1" applyFont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Fill="1" applyBorder="1"/>
    <xf numFmtId="0" fontId="14" fillId="0" borderId="0" xfId="0" applyFont="1" applyFill="1" applyBorder="1" applyAlignment="1">
      <alignment wrapText="1"/>
    </xf>
    <xf numFmtId="0" fontId="8" fillId="0" borderId="1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naver.com/item/main.naver?code=068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7"/>
  <sheetViews>
    <sheetView tabSelected="1" topLeftCell="F1" workbookViewId="0">
      <selection activeCell="J1" sqref="J1"/>
    </sheetView>
  </sheetViews>
  <sheetFormatPr defaultRowHeight="16.5" x14ac:dyDescent="0.3"/>
  <cols>
    <col min="1" max="1" width="19.25" style="3" bestFit="1" customWidth="1"/>
    <col min="3" max="3" width="16.625" style="5" bestFit="1" customWidth="1"/>
    <col min="4" max="4" width="17.25" style="5" bestFit="1" customWidth="1"/>
    <col min="5" max="5" width="16" style="5" bestFit="1" customWidth="1"/>
    <col min="6" max="6" width="28.875" style="5" customWidth="1"/>
    <col min="7" max="7" width="15.625" style="5" bestFit="1" customWidth="1"/>
    <col min="9" max="9" width="14.625" bestFit="1" customWidth="1"/>
    <col min="10" max="10" width="18.375" style="10" bestFit="1" customWidth="1"/>
    <col min="11" max="11" width="14.625" style="10" bestFit="1" customWidth="1"/>
    <col min="12" max="12" width="14.875" style="10" bestFit="1" customWidth="1"/>
    <col min="13" max="13" width="20.5" style="10" bestFit="1" customWidth="1"/>
    <col min="14" max="14" width="21.125" style="9" customWidth="1"/>
    <col min="15" max="15" width="50.875" customWidth="1"/>
  </cols>
  <sheetData>
    <row r="1" spans="1:15" x14ac:dyDescent="0.3">
      <c r="A1" s="2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5" x14ac:dyDescent="0.3">
      <c r="A2" s="3">
        <v>45291</v>
      </c>
      <c r="B2" t="s">
        <v>7</v>
      </c>
      <c r="C2" s="5">
        <v>67779938000</v>
      </c>
      <c r="D2" s="5">
        <v>67779938000</v>
      </c>
      <c r="E2" s="5">
        <v>67779938000</v>
      </c>
      <c r="F2" s="5">
        <v>67779938000</v>
      </c>
      <c r="G2" s="5">
        <v>67779938000</v>
      </c>
    </row>
    <row r="3" spans="1:15" x14ac:dyDescent="0.3">
      <c r="A3" s="3">
        <v>45382</v>
      </c>
      <c r="B3" t="s">
        <v>7</v>
      </c>
      <c r="C3" s="5">
        <v>71915601000</v>
      </c>
      <c r="D3" s="5">
        <v>71915601000</v>
      </c>
      <c r="E3" s="5">
        <v>71915601000</v>
      </c>
      <c r="F3" s="5">
        <v>71915601000</v>
      </c>
      <c r="G3" s="5">
        <v>71915601000</v>
      </c>
    </row>
    <row r="4" spans="1:15" x14ac:dyDescent="0.3">
      <c r="A4" s="3">
        <v>45473</v>
      </c>
      <c r="B4" t="s">
        <v>7</v>
      </c>
      <c r="C4" s="5">
        <v>74068302000</v>
      </c>
      <c r="D4" s="5">
        <v>74068302000</v>
      </c>
      <c r="E4" s="5">
        <v>74068302000</v>
      </c>
      <c r="F4" s="5">
        <v>74068302000</v>
      </c>
      <c r="G4" s="5">
        <v>74068302000</v>
      </c>
    </row>
    <row r="5" spans="1:15" x14ac:dyDescent="0.3">
      <c r="A5" s="3">
        <v>45565</v>
      </c>
      <c r="B5" t="s">
        <v>7</v>
      </c>
      <c r="C5" s="5">
        <v>79098731000</v>
      </c>
      <c r="D5" s="5">
        <v>79098731000</v>
      </c>
      <c r="E5" s="5">
        <v>79098731000</v>
      </c>
      <c r="F5" s="5">
        <v>79098731000</v>
      </c>
      <c r="G5" s="5">
        <v>79098731000</v>
      </c>
    </row>
    <row r="6" spans="1:15" x14ac:dyDescent="0.3">
      <c r="A6" s="3">
        <v>45657</v>
      </c>
      <c r="B6" t="s">
        <v>7</v>
      </c>
      <c r="C6" s="5">
        <v>75788269000</v>
      </c>
      <c r="D6" s="5">
        <v>75788269000</v>
      </c>
      <c r="E6" s="5">
        <v>75788269000</v>
      </c>
      <c r="F6" s="5">
        <v>75788269000</v>
      </c>
      <c r="G6" s="5">
        <v>75788269000</v>
      </c>
    </row>
    <row r="7" spans="1:15" x14ac:dyDescent="0.3">
      <c r="A7" s="3">
        <v>45747</v>
      </c>
      <c r="B7" t="s">
        <v>7</v>
      </c>
      <c r="C7" s="5">
        <v>79140503000</v>
      </c>
      <c r="D7" s="5">
        <v>79140503000</v>
      </c>
      <c r="E7" s="5">
        <v>79140503000</v>
      </c>
      <c r="F7" s="5">
        <v>79140503000</v>
      </c>
      <c r="G7" s="5">
        <v>79140503000</v>
      </c>
    </row>
    <row r="8" spans="1:15" x14ac:dyDescent="0.3">
      <c r="A8" s="3">
        <v>45838</v>
      </c>
      <c r="B8" t="s">
        <v>7</v>
      </c>
      <c r="C8" s="5">
        <v>74566317000</v>
      </c>
      <c r="D8" s="5">
        <v>74566317000</v>
      </c>
      <c r="E8" s="5">
        <v>74566317000</v>
      </c>
      <c r="F8" s="5">
        <v>74566317000</v>
      </c>
      <c r="G8" s="5">
        <v>74566317000</v>
      </c>
      <c r="J8" s="15" t="s">
        <v>130</v>
      </c>
      <c r="K8" s="15" t="s">
        <v>129</v>
      </c>
      <c r="L8" s="16" t="s">
        <v>132</v>
      </c>
      <c r="M8" s="18" t="s">
        <v>133</v>
      </c>
      <c r="N8" s="16" t="s">
        <v>105</v>
      </c>
      <c r="O8" s="16" t="s">
        <v>116</v>
      </c>
    </row>
    <row r="9" spans="1:15" x14ac:dyDescent="0.3">
      <c r="A9" s="3">
        <v>45930</v>
      </c>
      <c r="B9" t="s">
        <v>7</v>
      </c>
      <c r="C9" s="7">
        <v>81755582172.126312</v>
      </c>
      <c r="D9" s="5">
        <v>77451732746.965698</v>
      </c>
      <c r="E9" s="5">
        <v>82619391860.177597</v>
      </c>
      <c r="F9" s="5">
        <v>80093505057.483948</v>
      </c>
      <c r="G9" s="5">
        <v>80755208406.55838</v>
      </c>
      <c r="J9" s="16" t="s">
        <v>9</v>
      </c>
      <c r="K9" s="16" t="s">
        <v>106</v>
      </c>
      <c r="L9" s="17">
        <f>I33</f>
        <v>115567.5141683534</v>
      </c>
      <c r="M9" s="17">
        <v>108305</v>
      </c>
      <c r="N9" s="17"/>
      <c r="O9" s="21" t="s">
        <v>117</v>
      </c>
    </row>
    <row r="10" spans="1:15" x14ac:dyDescent="0.3">
      <c r="A10" s="3">
        <v>46022</v>
      </c>
      <c r="B10" t="s">
        <v>7</v>
      </c>
      <c r="C10" s="7">
        <v>80738870424.503525</v>
      </c>
      <c r="D10" s="5">
        <v>78126260213.268326</v>
      </c>
      <c r="E10" s="5">
        <v>77670865178.355255</v>
      </c>
      <c r="F10" s="5">
        <v>77660801351.700195</v>
      </c>
      <c r="G10" s="5">
        <v>79276758461.757507</v>
      </c>
      <c r="J10" s="16" t="s">
        <v>55</v>
      </c>
      <c r="K10" s="16" t="s">
        <v>86</v>
      </c>
      <c r="L10" s="17">
        <f>I45</f>
        <v>28749.69892818368</v>
      </c>
      <c r="M10" s="17">
        <v>30430</v>
      </c>
      <c r="N10" s="17"/>
      <c r="O10" s="21"/>
    </row>
    <row r="11" spans="1:15" x14ac:dyDescent="0.3">
      <c r="A11" s="3">
        <v>46112</v>
      </c>
      <c r="B11" t="s">
        <v>7</v>
      </c>
      <c r="C11" s="7">
        <v>80772777390.561722</v>
      </c>
      <c r="D11" s="5">
        <v>78786124038.999161</v>
      </c>
      <c r="E11" s="5">
        <v>80060948140.790771</v>
      </c>
      <c r="F11" s="5">
        <v>78549063177.847076</v>
      </c>
      <c r="G11" s="5">
        <v>75779986597.801132</v>
      </c>
      <c r="J11" s="16" t="s">
        <v>11</v>
      </c>
      <c r="K11" s="16" t="s">
        <v>107</v>
      </c>
      <c r="L11" s="17">
        <f>I57</f>
        <v>480225.85853401513</v>
      </c>
      <c r="M11" s="17">
        <v>453235</v>
      </c>
      <c r="N11" s="17"/>
      <c r="O11" s="21"/>
    </row>
    <row r="12" spans="1:15" x14ac:dyDescent="0.3">
      <c r="A12" s="3">
        <v>46203</v>
      </c>
      <c r="B12" t="s">
        <v>134</v>
      </c>
      <c r="C12" s="7">
        <v>80694427050.596634</v>
      </c>
      <c r="D12" s="5">
        <v>79453319685.015884</v>
      </c>
      <c r="E12" s="5">
        <v>78538841249.78479</v>
      </c>
      <c r="F12" s="5">
        <v>79406803242.709595</v>
      </c>
      <c r="G12" s="5">
        <v>76466228696.792755</v>
      </c>
      <c r="J12" s="16" t="s">
        <v>12</v>
      </c>
      <c r="K12" s="16" t="s">
        <v>118</v>
      </c>
      <c r="L12" s="17">
        <f>K73</f>
        <v>31935.80205003282</v>
      </c>
      <c r="M12" s="17">
        <v>32198</v>
      </c>
      <c r="N12" s="17"/>
      <c r="O12" s="21" t="s">
        <v>119</v>
      </c>
    </row>
    <row r="13" spans="1:15" x14ac:dyDescent="0.3">
      <c r="A13" s="3">
        <v>46295</v>
      </c>
      <c r="B13" t="s">
        <v>7</v>
      </c>
      <c r="C13" s="7">
        <v>87225317232.638321</v>
      </c>
      <c r="D13" s="5">
        <v>80127847151.318512</v>
      </c>
      <c r="E13" s="5">
        <v>84767968486.526291</v>
      </c>
      <c r="F13" s="5">
        <v>82622698993.369354</v>
      </c>
      <c r="G13" s="5">
        <v>82159140255.949677</v>
      </c>
      <c r="J13" s="16" t="s">
        <v>87</v>
      </c>
      <c r="K13" s="16" t="s">
        <v>108</v>
      </c>
      <c r="L13" s="17">
        <f>K86</f>
        <v>21196.570171949515</v>
      </c>
      <c r="M13" s="17">
        <v>20236</v>
      </c>
      <c r="N13" s="17"/>
      <c r="O13" s="21" t="s">
        <v>120</v>
      </c>
    </row>
    <row r="14" spans="1:15" x14ac:dyDescent="0.3">
      <c r="A14" s="3">
        <v>45291</v>
      </c>
      <c r="B14" t="s">
        <v>8</v>
      </c>
      <c r="C14" s="5">
        <v>11305504000</v>
      </c>
      <c r="D14" s="5">
        <v>11305504000</v>
      </c>
      <c r="E14" s="5">
        <v>11305504000</v>
      </c>
      <c r="F14" s="5">
        <v>11305504000</v>
      </c>
      <c r="G14" s="5">
        <v>11305504000</v>
      </c>
      <c r="J14" s="16" t="s">
        <v>14</v>
      </c>
      <c r="K14" s="16" t="s">
        <v>109</v>
      </c>
      <c r="L14" s="17">
        <f>K98</f>
        <v>285520.95066160843</v>
      </c>
      <c r="M14" s="17">
        <v>278601</v>
      </c>
      <c r="N14" s="17"/>
      <c r="O14" s="21"/>
    </row>
    <row r="15" spans="1:15" x14ac:dyDescent="0.3">
      <c r="A15" s="3">
        <v>45382</v>
      </c>
      <c r="B15" t="s">
        <v>8</v>
      </c>
      <c r="C15" s="5">
        <v>12429598000</v>
      </c>
      <c r="D15" s="5">
        <v>12429598000</v>
      </c>
      <c r="E15" s="5">
        <v>12429598000</v>
      </c>
      <c r="F15" s="5">
        <v>12429598000</v>
      </c>
      <c r="G15" s="5">
        <v>12429598000</v>
      </c>
      <c r="J15" s="16" t="s">
        <v>57</v>
      </c>
      <c r="K15" s="16" t="s">
        <v>110</v>
      </c>
      <c r="L15" s="17">
        <f>K110</f>
        <v>9539.5365847401881</v>
      </c>
      <c r="M15" s="17">
        <v>11346</v>
      </c>
      <c r="N15" s="17"/>
      <c r="O15" s="21" t="s">
        <v>121</v>
      </c>
    </row>
    <row r="16" spans="1:15" x14ac:dyDescent="0.3">
      <c r="A16" s="3">
        <v>45473</v>
      </c>
      <c r="B16" t="s">
        <v>8</v>
      </c>
      <c r="C16" s="5">
        <v>16423258000</v>
      </c>
      <c r="D16" s="5">
        <v>16423258000</v>
      </c>
      <c r="E16" s="5">
        <v>16423258000</v>
      </c>
      <c r="F16" s="5">
        <v>16423258000</v>
      </c>
      <c r="G16" s="5">
        <v>16423258000</v>
      </c>
      <c r="J16" s="16" t="s">
        <v>98</v>
      </c>
      <c r="K16" s="16" t="s">
        <v>111</v>
      </c>
      <c r="L16" s="17">
        <f>K194</f>
        <v>28449.478660929097</v>
      </c>
      <c r="M16" s="17">
        <v>28300</v>
      </c>
      <c r="N16" s="17"/>
      <c r="O16" s="21" t="s">
        <v>122</v>
      </c>
    </row>
    <row r="17" spans="1:15" x14ac:dyDescent="0.3">
      <c r="A17" s="3">
        <v>45565</v>
      </c>
      <c r="B17" t="s">
        <v>8</v>
      </c>
      <c r="C17" s="5">
        <v>17573069000</v>
      </c>
      <c r="D17" s="5">
        <v>17573069000</v>
      </c>
      <c r="E17" s="5">
        <v>17573069000</v>
      </c>
      <c r="F17" s="5">
        <v>17573069000</v>
      </c>
      <c r="G17" s="5">
        <v>17573069000</v>
      </c>
      <c r="J17" s="16" t="s">
        <v>99</v>
      </c>
      <c r="K17" s="16" t="s">
        <v>112</v>
      </c>
      <c r="L17" s="17">
        <v>8326</v>
      </c>
      <c r="M17" s="17">
        <v>9266</v>
      </c>
      <c r="N17" s="17"/>
      <c r="O17" s="21" t="s">
        <v>123</v>
      </c>
    </row>
    <row r="18" spans="1:15" x14ac:dyDescent="0.3">
      <c r="A18" s="3">
        <v>45657</v>
      </c>
      <c r="B18" t="s">
        <v>8</v>
      </c>
      <c r="C18" s="5">
        <v>19767035000</v>
      </c>
      <c r="D18" s="5">
        <v>19767035000</v>
      </c>
      <c r="E18" s="5">
        <v>19767035000</v>
      </c>
      <c r="F18" s="5">
        <v>19767035000</v>
      </c>
      <c r="G18" s="5">
        <v>19767035000</v>
      </c>
      <c r="J18" s="16" t="s">
        <v>61</v>
      </c>
      <c r="K18" s="16" t="s">
        <v>113</v>
      </c>
      <c r="L18" s="17">
        <v>6600</v>
      </c>
      <c r="M18" s="17" t="s">
        <v>100</v>
      </c>
      <c r="N18" s="17"/>
      <c r="O18" s="21" t="s">
        <v>124</v>
      </c>
    </row>
    <row r="19" spans="1:15" x14ac:dyDescent="0.3">
      <c r="A19" s="3">
        <v>45747</v>
      </c>
      <c r="B19" t="s">
        <v>8</v>
      </c>
      <c r="C19" s="5">
        <v>17639141000</v>
      </c>
      <c r="D19" s="5">
        <v>17639141000</v>
      </c>
      <c r="E19" s="5">
        <v>17639141000</v>
      </c>
      <c r="F19" s="5">
        <v>17639141000</v>
      </c>
      <c r="G19" s="5">
        <v>17639141000</v>
      </c>
      <c r="J19" s="16" t="s">
        <v>62</v>
      </c>
      <c r="K19" s="16" t="s">
        <v>125</v>
      </c>
      <c r="L19" s="17">
        <v>4091</v>
      </c>
      <c r="M19" s="17">
        <v>4451</v>
      </c>
      <c r="N19" s="17"/>
      <c r="O19" s="21"/>
    </row>
    <row r="20" spans="1:15" x14ac:dyDescent="0.3">
      <c r="A20" s="3">
        <v>45838</v>
      </c>
      <c r="B20" t="s">
        <v>8</v>
      </c>
      <c r="C20" s="5">
        <v>22231952000</v>
      </c>
      <c r="D20" s="5">
        <v>22231952000</v>
      </c>
      <c r="E20" s="5">
        <v>22231952000</v>
      </c>
      <c r="F20" s="5">
        <v>22231952000</v>
      </c>
      <c r="G20" s="5">
        <v>22231952000</v>
      </c>
      <c r="J20" s="16" t="s">
        <v>101</v>
      </c>
      <c r="K20" s="16" t="s">
        <v>102</v>
      </c>
      <c r="L20" s="17">
        <v>11791</v>
      </c>
      <c r="M20" s="17">
        <v>12143</v>
      </c>
      <c r="N20" s="17"/>
      <c r="O20" s="21" t="s">
        <v>126</v>
      </c>
    </row>
    <row r="21" spans="1:15" x14ac:dyDescent="0.3">
      <c r="A21" s="3">
        <v>45930</v>
      </c>
      <c r="B21" t="s">
        <v>8</v>
      </c>
      <c r="C21" s="7">
        <v>23332574929.184261</v>
      </c>
      <c r="D21" s="5">
        <v>15323979745.119619</v>
      </c>
      <c r="E21" s="5">
        <v>21962703283.674492</v>
      </c>
      <c r="F21" s="5">
        <v>22502768294.252338</v>
      </c>
      <c r="G21" s="5">
        <v>22370683145.337749</v>
      </c>
      <c r="J21" s="16" t="s">
        <v>103</v>
      </c>
      <c r="K21" s="16" t="s">
        <v>114</v>
      </c>
      <c r="L21" s="17">
        <v>25312</v>
      </c>
      <c r="M21" s="17">
        <v>26795</v>
      </c>
      <c r="N21" s="17"/>
      <c r="O21" s="21" t="s">
        <v>127</v>
      </c>
    </row>
    <row r="22" spans="1:15" x14ac:dyDescent="0.3">
      <c r="A22" s="3">
        <v>46022</v>
      </c>
      <c r="B22" t="s">
        <v>8</v>
      </c>
      <c r="C22" s="7">
        <v>23749206748.101582</v>
      </c>
      <c r="D22" s="5">
        <v>15604816472.684731</v>
      </c>
      <c r="E22" s="5">
        <v>21262592751.720261</v>
      </c>
      <c r="F22" s="5">
        <v>24884679996.537121</v>
      </c>
      <c r="G22" s="5">
        <v>22510053495.633511</v>
      </c>
      <c r="J22" s="16" t="s">
        <v>104</v>
      </c>
      <c r="K22" s="16" t="s">
        <v>115</v>
      </c>
      <c r="L22" s="17">
        <v>16700</v>
      </c>
      <c r="M22" s="17">
        <v>17503</v>
      </c>
      <c r="N22" s="17"/>
      <c r="O22" s="21" t="s">
        <v>128</v>
      </c>
    </row>
    <row r="23" spans="1:15" x14ac:dyDescent="0.3">
      <c r="A23" s="3">
        <v>46112</v>
      </c>
      <c r="B23" t="s">
        <v>8</v>
      </c>
      <c r="C23" s="7">
        <v>23315676354.67197</v>
      </c>
      <c r="D23" s="5">
        <v>15879548053.99843</v>
      </c>
      <c r="E23" s="5">
        <v>17682255546.854919</v>
      </c>
      <c r="F23" s="5">
        <v>23556487957.927021</v>
      </c>
      <c r="G23" s="5">
        <v>22649423845.929272</v>
      </c>
      <c r="J23" s="16" t="s">
        <v>68</v>
      </c>
      <c r="K23" s="16" t="s">
        <v>139</v>
      </c>
      <c r="L23" s="17">
        <v>32714</v>
      </c>
      <c r="M23" s="17">
        <v>32629</v>
      </c>
      <c r="N23" s="17"/>
      <c r="O23" s="21" t="s">
        <v>140</v>
      </c>
    </row>
    <row r="24" spans="1:15" x14ac:dyDescent="0.3">
      <c r="A24" s="3">
        <v>46203</v>
      </c>
      <c r="B24" t="s">
        <v>8</v>
      </c>
      <c r="C24" s="7">
        <v>24201687227.30901</v>
      </c>
      <c r="D24" s="5">
        <v>16157332208.43783</v>
      </c>
      <c r="E24" s="5">
        <v>18444620394.67308</v>
      </c>
      <c r="F24" s="5">
        <v>28745448871.328949</v>
      </c>
      <c r="G24" s="5">
        <v>22788794196.22504</v>
      </c>
      <c r="J24" s="16" t="s">
        <v>141</v>
      </c>
      <c r="K24" s="16" t="s">
        <v>142</v>
      </c>
      <c r="L24" s="17">
        <v>19555</v>
      </c>
      <c r="M24" s="17">
        <v>18524</v>
      </c>
      <c r="N24" s="17"/>
      <c r="O24" s="21" t="s">
        <v>143</v>
      </c>
    </row>
    <row r="25" spans="1:15" x14ac:dyDescent="0.3">
      <c r="A25" s="3">
        <v>46295</v>
      </c>
      <c r="B25" t="s">
        <v>8</v>
      </c>
      <c r="C25" s="7">
        <v>25320846001.446651</v>
      </c>
      <c r="D25" s="5">
        <v>16438168936.002939</v>
      </c>
      <c r="E25" s="5">
        <v>16399577415.091391</v>
      </c>
      <c r="F25" s="5">
        <v>28376406019.283691</v>
      </c>
      <c r="G25" s="5">
        <v>22928164546.520802</v>
      </c>
      <c r="J25" s="16" t="s">
        <v>72</v>
      </c>
      <c r="K25" s="16" t="s">
        <v>148</v>
      </c>
      <c r="L25" s="17">
        <v>3476</v>
      </c>
      <c r="M25" s="17">
        <v>3416</v>
      </c>
      <c r="N25" s="17"/>
      <c r="O25" s="21" t="s">
        <v>149</v>
      </c>
    </row>
    <row r="26" spans="1:15" x14ac:dyDescent="0.3">
      <c r="A26" s="3">
        <v>45291</v>
      </c>
      <c r="B26" t="s">
        <v>54</v>
      </c>
      <c r="C26" s="5">
        <v>13134802000</v>
      </c>
      <c r="D26" s="5">
        <v>13134802000</v>
      </c>
      <c r="E26" s="5">
        <v>13134802000</v>
      </c>
      <c r="F26" s="5">
        <v>13134802000</v>
      </c>
      <c r="G26" s="5">
        <v>13134802000</v>
      </c>
      <c r="J26" s="16" t="s">
        <v>73</v>
      </c>
      <c r="K26" s="16" t="s">
        <v>150</v>
      </c>
      <c r="L26" s="17">
        <v>11660</v>
      </c>
      <c r="M26" s="17">
        <v>12272</v>
      </c>
      <c r="N26" s="17"/>
      <c r="O26" s="21" t="s">
        <v>149</v>
      </c>
    </row>
    <row r="27" spans="1:15" x14ac:dyDescent="0.3">
      <c r="A27" s="3">
        <v>45382</v>
      </c>
      <c r="B27" t="s">
        <v>9</v>
      </c>
      <c r="C27" s="5">
        <v>11609432000</v>
      </c>
      <c r="D27" s="5">
        <v>11609432000</v>
      </c>
      <c r="E27" s="5">
        <v>11609432000</v>
      </c>
      <c r="F27" s="5">
        <v>11609432000</v>
      </c>
      <c r="G27" s="5">
        <v>11609432000</v>
      </c>
      <c r="J27" s="16" t="s">
        <v>152</v>
      </c>
      <c r="K27" s="16" t="s">
        <v>151</v>
      </c>
      <c r="L27" s="17">
        <v>4445</v>
      </c>
      <c r="M27" s="17">
        <v>4533</v>
      </c>
      <c r="N27" s="17"/>
      <c r="O27" s="21" t="s">
        <v>153</v>
      </c>
    </row>
    <row r="28" spans="1:15" x14ac:dyDescent="0.3">
      <c r="A28" s="3">
        <v>45473</v>
      </c>
      <c r="B28" t="s">
        <v>9</v>
      </c>
      <c r="C28" s="5">
        <v>12241915000</v>
      </c>
      <c r="D28" s="5">
        <v>12241915000</v>
      </c>
      <c r="E28" s="5">
        <v>12241915000</v>
      </c>
      <c r="F28" s="5">
        <v>12241915000</v>
      </c>
      <c r="G28" s="5">
        <v>12241915000</v>
      </c>
      <c r="J28" s="16" t="s">
        <v>42</v>
      </c>
      <c r="K28" s="16" t="s">
        <v>154</v>
      </c>
      <c r="L28" s="17">
        <v>5700</v>
      </c>
      <c r="M28" s="17">
        <v>5302</v>
      </c>
      <c r="N28" s="17"/>
      <c r="O28" s="21" t="s">
        <v>149</v>
      </c>
    </row>
    <row r="29" spans="1:15" x14ac:dyDescent="0.3">
      <c r="A29" s="3">
        <v>45565</v>
      </c>
      <c r="B29" t="s">
        <v>9</v>
      </c>
      <c r="C29" s="5">
        <v>12670398000</v>
      </c>
      <c r="D29" s="5">
        <v>12670398000</v>
      </c>
      <c r="E29" s="5">
        <v>12670398000</v>
      </c>
      <c r="F29" s="5">
        <v>12670398000</v>
      </c>
      <c r="G29" s="5">
        <v>12670398000</v>
      </c>
      <c r="J29" s="16" t="s">
        <v>47</v>
      </c>
      <c r="K29" s="16" t="s">
        <v>159</v>
      </c>
      <c r="L29" s="17">
        <v>13212</v>
      </c>
      <c r="M29" s="17">
        <v>14178</v>
      </c>
      <c r="N29" s="17"/>
      <c r="O29" s="21" t="s">
        <v>160</v>
      </c>
    </row>
    <row r="30" spans="1:15" x14ac:dyDescent="0.3">
      <c r="A30" s="3">
        <v>45657</v>
      </c>
      <c r="B30" t="s">
        <v>9</v>
      </c>
      <c r="C30" s="5">
        <v>12394359000</v>
      </c>
      <c r="D30" s="5">
        <v>12394359000</v>
      </c>
      <c r="E30" s="5">
        <v>12394359000</v>
      </c>
      <c r="F30" s="5">
        <v>12394359000</v>
      </c>
      <c r="G30" s="5">
        <v>12394359000</v>
      </c>
      <c r="J30" s="16" t="s">
        <v>82</v>
      </c>
      <c r="K30" s="16" t="s">
        <v>161</v>
      </c>
      <c r="L30" s="17">
        <v>3313</v>
      </c>
      <c r="M30" s="17">
        <v>3914</v>
      </c>
      <c r="N30" s="17">
        <v>3544</v>
      </c>
      <c r="O30" s="21" t="s">
        <v>162</v>
      </c>
    </row>
    <row r="31" spans="1:15" x14ac:dyDescent="0.3">
      <c r="A31" s="3">
        <v>45747</v>
      </c>
      <c r="B31" t="s">
        <v>9</v>
      </c>
      <c r="C31" s="5">
        <v>12171015000</v>
      </c>
      <c r="D31" s="5">
        <v>12171015000</v>
      </c>
      <c r="E31" s="5">
        <v>12171015000</v>
      </c>
      <c r="F31" s="5">
        <v>12171015000</v>
      </c>
      <c r="G31" s="5">
        <v>12171015000</v>
      </c>
      <c r="J31" s="16" t="s">
        <v>53</v>
      </c>
      <c r="K31" s="16" t="s">
        <v>163</v>
      </c>
      <c r="L31" s="17">
        <v>2770</v>
      </c>
      <c r="M31" s="17" t="s">
        <v>100</v>
      </c>
      <c r="N31" s="17"/>
      <c r="O31" s="21" t="s">
        <v>164</v>
      </c>
    </row>
    <row r="32" spans="1:15" x14ac:dyDescent="0.3">
      <c r="A32" s="3">
        <v>45838</v>
      </c>
      <c r="B32" t="s">
        <v>54</v>
      </c>
      <c r="C32" s="5">
        <v>11417711000</v>
      </c>
      <c r="D32" s="5">
        <v>11417711000</v>
      </c>
      <c r="E32" s="5">
        <v>11417711000</v>
      </c>
      <c r="F32" s="5">
        <v>11417711000</v>
      </c>
      <c r="G32" s="5">
        <v>11417711000</v>
      </c>
      <c r="O32" s="20"/>
    </row>
    <row r="33" spans="1:15" x14ac:dyDescent="0.3">
      <c r="A33" s="3">
        <v>45930</v>
      </c>
      <c r="B33" t="s">
        <v>54</v>
      </c>
      <c r="C33" s="6">
        <v>11556751416.83534</v>
      </c>
      <c r="D33" s="5">
        <v>14039052853.16132</v>
      </c>
      <c r="E33" s="5">
        <v>10908725719.318359</v>
      </c>
      <c r="G33" s="5">
        <v>11432460117.3699</v>
      </c>
      <c r="I33" s="11">
        <f>C33/100000</f>
        <v>115567.5141683534</v>
      </c>
      <c r="O33" s="20"/>
    </row>
    <row r="34" spans="1:15" x14ac:dyDescent="0.3">
      <c r="A34" s="3">
        <v>46022</v>
      </c>
      <c r="B34" t="s">
        <v>9</v>
      </c>
      <c r="C34" s="6">
        <v>11761206133.88994</v>
      </c>
      <c r="D34" s="5">
        <v>14280192366.75597</v>
      </c>
      <c r="E34" s="5">
        <v>10257399538.926979</v>
      </c>
      <c r="G34" s="5">
        <v>11516971236.98719</v>
      </c>
      <c r="I34" s="11">
        <f t="shared" ref="I34:I97" si="0">C34/100000</f>
        <v>117612.06133889941</v>
      </c>
      <c r="O34" s="19"/>
    </row>
    <row r="35" spans="1:15" x14ac:dyDescent="0.3">
      <c r="A35" s="3">
        <v>46112</v>
      </c>
      <c r="B35" t="s">
        <v>9</v>
      </c>
      <c r="C35" s="6">
        <v>11901780397.327499</v>
      </c>
      <c r="D35" s="5">
        <v>14516089717.0116</v>
      </c>
      <c r="E35" s="5">
        <v>9394224611.8605289</v>
      </c>
      <c r="G35" s="5">
        <v>11471312881.003321</v>
      </c>
      <c r="I35" s="11">
        <f t="shared" si="0"/>
        <v>119017.80397327499</v>
      </c>
    </row>
    <row r="36" spans="1:15" x14ac:dyDescent="0.3">
      <c r="A36" s="3">
        <v>46203</v>
      </c>
      <c r="B36" t="s">
        <v>9</v>
      </c>
      <c r="C36" s="6">
        <v>12204530861.929251</v>
      </c>
      <c r="D36" s="5">
        <v>14754608148.936729</v>
      </c>
      <c r="E36" s="5">
        <v>9061879761.3927898</v>
      </c>
      <c r="G36" s="5">
        <v>11902512142.721451</v>
      </c>
      <c r="I36" s="11">
        <f t="shared" si="0"/>
        <v>122045.30861929251</v>
      </c>
      <c r="J36" s="15" t="s">
        <v>130</v>
      </c>
      <c r="K36" s="15" t="s">
        <v>129</v>
      </c>
      <c r="L36" s="16" t="s">
        <v>132</v>
      </c>
      <c r="M36" s="18" t="s">
        <v>133</v>
      </c>
      <c r="N36" s="16" t="s">
        <v>105</v>
      </c>
      <c r="O36" s="16" t="s">
        <v>116</v>
      </c>
    </row>
    <row r="37" spans="1:15" x14ac:dyDescent="0.3">
      <c r="A37" s="3">
        <v>46295</v>
      </c>
      <c r="B37" t="s">
        <v>9</v>
      </c>
      <c r="C37" s="6">
        <v>12338281502.203699</v>
      </c>
      <c r="D37" s="5">
        <v>14995747662.53137</v>
      </c>
      <c r="E37" s="5">
        <v>9431321953.9193459</v>
      </c>
      <c r="G37" s="5">
        <v>11912490175.50247</v>
      </c>
      <c r="I37" s="11">
        <f t="shared" si="0"/>
        <v>123382.81502203699</v>
      </c>
      <c r="J37" s="16" t="s">
        <v>88</v>
      </c>
      <c r="K37" s="16" t="s">
        <v>89</v>
      </c>
      <c r="L37" s="17">
        <f>K134</f>
        <v>1742.3027492309725</v>
      </c>
      <c r="M37" s="17">
        <v>2223</v>
      </c>
      <c r="N37" s="16"/>
      <c r="O37" s="21" t="s">
        <v>90</v>
      </c>
    </row>
    <row r="38" spans="1:15" x14ac:dyDescent="0.3">
      <c r="A38" s="3">
        <v>45291</v>
      </c>
      <c r="B38" t="s">
        <v>55</v>
      </c>
      <c r="C38" s="5">
        <v>2537004066.7199998</v>
      </c>
      <c r="D38" s="5">
        <v>2537004066.7199998</v>
      </c>
      <c r="E38" s="5">
        <v>2537004066.7199998</v>
      </c>
      <c r="F38" s="5">
        <v>2537004066.7199998</v>
      </c>
      <c r="G38" s="5">
        <v>2537004066.7199998</v>
      </c>
      <c r="I38" s="11">
        <f t="shared" si="0"/>
        <v>25370.040667199999</v>
      </c>
      <c r="J38" s="16" t="s">
        <v>59</v>
      </c>
      <c r="K38" s="16" t="s">
        <v>91</v>
      </c>
      <c r="L38" s="17">
        <v>1004</v>
      </c>
      <c r="M38" s="17">
        <v>985</v>
      </c>
      <c r="N38" s="16">
        <v>1001</v>
      </c>
      <c r="O38" s="21" t="s">
        <v>92</v>
      </c>
    </row>
    <row r="39" spans="1:15" x14ac:dyDescent="0.3">
      <c r="A39" s="3">
        <v>45382</v>
      </c>
      <c r="B39" t="s">
        <v>10</v>
      </c>
      <c r="C39" s="5">
        <v>2526055415.8800001</v>
      </c>
      <c r="D39" s="5">
        <v>2526055415.8800001</v>
      </c>
      <c r="E39" s="5">
        <v>2526055415.8800001</v>
      </c>
      <c r="F39" s="5">
        <v>2526055415.8800001</v>
      </c>
      <c r="G39" s="5">
        <v>2526055415.8800001</v>
      </c>
      <c r="I39" s="11">
        <f t="shared" si="0"/>
        <v>25260.554158800001</v>
      </c>
      <c r="J39" s="16" t="s">
        <v>93</v>
      </c>
      <c r="K39" s="16" t="s">
        <v>94</v>
      </c>
      <c r="L39" s="17">
        <f>K158</f>
        <v>1406.8665308177879</v>
      </c>
      <c r="M39" s="17">
        <v>976</v>
      </c>
      <c r="N39" s="16"/>
      <c r="O39" s="21" t="s">
        <v>95</v>
      </c>
    </row>
    <row r="40" spans="1:15" x14ac:dyDescent="0.3">
      <c r="A40" s="3">
        <v>45473</v>
      </c>
      <c r="B40" t="s">
        <v>10</v>
      </c>
      <c r="C40" s="5">
        <v>2610485920.1900001</v>
      </c>
      <c r="D40" s="5">
        <v>2610485920.1900001</v>
      </c>
      <c r="E40" s="5">
        <v>2610485920.1900001</v>
      </c>
      <c r="F40" s="5">
        <v>2610485920.1900001</v>
      </c>
      <c r="G40" s="5">
        <v>2610485920.1900001</v>
      </c>
      <c r="I40" s="11">
        <f t="shared" si="0"/>
        <v>26104.859201899999</v>
      </c>
      <c r="J40" s="16" t="s">
        <v>96</v>
      </c>
      <c r="K40" s="16" t="s">
        <v>97</v>
      </c>
      <c r="L40" s="17">
        <v>523</v>
      </c>
      <c r="M40" s="17">
        <v>514</v>
      </c>
      <c r="N40" s="16">
        <v>456</v>
      </c>
      <c r="O40" s="21" t="s">
        <v>131</v>
      </c>
    </row>
    <row r="41" spans="1:15" x14ac:dyDescent="0.3">
      <c r="A41" s="3">
        <v>45565</v>
      </c>
      <c r="B41" t="s">
        <v>10</v>
      </c>
      <c r="C41" s="5">
        <v>2715557161.5599999</v>
      </c>
      <c r="D41" s="5">
        <v>2715557161.5599999</v>
      </c>
      <c r="E41" s="5">
        <v>2715557161.5599999</v>
      </c>
      <c r="F41" s="5">
        <v>2715557161.5599999</v>
      </c>
      <c r="G41" s="5">
        <v>2715557161.5599999</v>
      </c>
      <c r="I41" s="11">
        <f t="shared" si="0"/>
        <v>27155.571615599998</v>
      </c>
      <c r="J41" s="16" t="s">
        <v>66</v>
      </c>
      <c r="K41" s="16" t="s">
        <v>135</v>
      </c>
      <c r="L41" s="17">
        <v>835</v>
      </c>
      <c r="M41" s="17" t="s">
        <v>100</v>
      </c>
      <c r="N41" s="16"/>
      <c r="O41" s="21" t="s">
        <v>136</v>
      </c>
    </row>
    <row r="42" spans="1:15" x14ac:dyDescent="0.3">
      <c r="A42" s="3">
        <v>45657</v>
      </c>
      <c r="B42" t="s">
        <v>10</v>
      </c>
      <c r="C42" s="5">
        <v>2885620767.0100002</v>
      </c>
      <c r="D42" s="5">
        <v>2885620767.0100002</v>
      </c>
      <c r="E42" s="5">
        <v>2885620767.0100002</v>
      </c>
      <c r="F42" s="5">
        <v>2885620767.0100002</v>
      </c>
      <c r="G42" s="5">
        <v>2885620767.0100002</v>
      </c>
      <c r="I42" s="11">
        <f t="shared" si="0"/>
        <v>28856.207670100001</v>
      </c>
      <c r="J42" s="16" t="s">
        <v>66</v>
      </c>
      <c r="K42" s="16" t="s">
        <v>137</v>
      </c>
      <c r="L42" s="17">
        <v>1092</v>
      </c>
      <c r="M42" s="17" t="s">
        <v>100</v>
      </c>
      <c r="N42" s="16"/>
      <c r="O42" s="21" t="s">
        <v>138</v>
      </c>
    </row>
    <row r="43" spans="1:15" x14ac:dyDescent="0.3">
      <c r="A43" s="3">
        <v>45747</v>
      </c>
      <c r="B43" t="s">
        <v>10</v>
      </c>
      <c r="C43" s="5">
        <v>2786783351.9099998</v>
      </c>
      <c r="D43" s="5">
        <v>2786783351.9099998</v>
      </c>
      <c r="E43" s="5">
        <v>2786783351.9099998</v>
      </c>
      <c r="F43" s="5">
        <v>2786783351.9099998</v>
      </c>
      <c r="G43" s="5">
        <v>2786783351.9099998</v>
      </c>
      <c r="I43" s="11">
        <f t="shared" si="0"/>
        <v>27867.833519099997</v>
      </c>
      <c r="J43" s="16" t="s">
        <v>70</v>
      </c>
      <c r="K43" s="16" t="s">
        <v>144</v>
      </c>
      <c r="L43" s="17">
        <v>269</v>
      </c>
      <c r="M43" s="17" t="s">
        <v>100</v>
      </c>
      <c r="N43" s="16"/>
      <c r="O43" s="21" t="s">
        <v>145</v>
      </c>
    </row>
    <row r="44" spans="1:15" x14ac:dyDescent="0.3">
      <c r="A44" s="3">
        <v>45838</v>
      </c>
      <c r="B44" t="s">
        <v>10</v>
      </c>
      <c r="C44" s="5">
        <v>2915085056.21</v>
      </c>
      <c r="D44" s="5">
        <v>2915085056.21</v>
      </c>
      <c r="E44" s="5">
        <v>2915085056.21</v>
      </c>
      <c r="F44" s="5">
        <v>2915085056.21</v>
      </c>
      <c r="G44" s="5">
        <v>2915085056.21</v>
      </c>
      <c r="I44" s="11">
        <f t="shared" si="0"/>
        <v>29150.8505621</v>
      </c>
      <c r="J44" s="16" t="s">
        <v>71</v>
      </c>
      <c r="K44" s="16" t="s">
        <v>146</v>
      </c>
      <c r="L44" s="17">
        <v>580</v>
      </c>
      <c r="M44" s="17">
        <v>618</v>
      </c>
      <c r="N44" s="16"/>
      <c r="O44" s="21" t="s">
        <v>147</v>
      </c>
    </row>
    <row r="45" spans="1:15" x14ac:dyDescent="0.3">
      <c r="A45" s="3">
        <v>45930</v>
      </c>
      <c r="B45" t="s">
        <v>55</v>
      </c>
      <c r="C45" s="7">
        <v>2874969892.818368</v>
      </c>
      <c r="D45" s="5">
        <v>2714195516.2702718</v>
      </c>
      <c r="E45" s="5">
        <v>2959819819.6982861</v>
      </c>
      <c r="G45" s="5">
        <v>2824681517.6091642</v>
      </c>
      <c r="I45" s="11">
        <f t="shared" si="0"/>
        <v>28749.69892818368</v>
      </c>
      <c r="J45" s="16" t="s">
        <v>76</v>
      </c>
      <c r="K45" s="16" t="s">
        <v>155</v>
      </c>
      <c r="L45" s="17">
        <v>459</v>
      </c>
      <c r="M45" s="17" t="s">
        <v>100</v>
      </c>
      <c r="N45" s="16"/>
      <c r="O45" s="21" t="s">
        <v>156</v>
      </c>
    </row>
    <row r="46" spans="1:15" x14ac:dyDescent="0.3">
      <c r="A46" s="3">
        <v>46022</v>
      </c>
      <c r="B46" t="s">
        <v>10</v>
      </c>
      <c r="C46" s="7">
        <v>2945722821.8547821</v>
      </c>
      <c r="D46" s="5">
        <v>2765214482.4380889</v>
      </c>
      <c r="E46" s="5">
        <v>3010409026.6539998</v>
      </c>
      <c r="G46" s="5">
        <v>2667942234.3652158</v>
      </c>
      <c r="I46" s="11">
        <f t="shared" si="0"/>
        <v>29457.228218547822</v>
      </c>
      <c r="J46" s="16" t="s">
        <v>78</v>
      </c>
      <c r="K46" s="16" t="s">
        <v>157</v>
      </c>
      <c r="L46" s="17">
        <v>500</v>
      </c>
      <c r="M46" s="17" t="s">
        <v>100</v>
      </c>
      <c r="N46" s="16"/>
      <c r="O46" s="21" t="s">
        <v>158</v>
      </c>
    </row>
    <row r="47" spans="1:15" x14ac:dyDescent="0.3">
      <c r="A47" s="3">
        <v>46112</v>
      </c>
      <c r="B47" t="s">
        <v>10</v>
      </c>
      <c r="C47" s="7">
        <v>2976159268.7886958</v>
      </c>
      <c r="D47" s="5">
        <v>2815124340.6457372</v>
      </c>
      <c r="E47" s="5">
        <v>3123253745.254849</v>
      </c>
      <c r="G47" s="5">
        <v>2920928294.8751678</v>
      </c>
      <c r="I47" s="11">
        <f t="shared" si="0"/>
        <v>29761.592687886958</v>
      </c>
      <c r="J47" s="16" t="s">
        <v>85</v>
      </c>
      <c r="K47" s="16" t="s">
        <v>165</v>
      </c>
      <c r="L47" s="17">
        <v>894</v>
      </c>
      <c r="M47" s="17">
        <v>849</v>
      </c>
      <c r="N47" s="16"/>
      <c r="O47" s="21" t="s">
        <v>166</v>
      </c>
    </row>
    <row r="48" spans="1:15" x14ac:dyDescent="0.3">
      <c r="A48" s="3">
        <v>46203</v>
      </c>
      <c r="B48" t="s">
        <v>10</v>
      </c>
      <c r="C48" s="7">
        <v>3104819533.7881522</v>
      </c>
      <c r="D48" s="5">
        <v>2865588752.833468</v>
      </c>
      <c r="E48" s="5">
        <v>3228724757.1793642</v>
      </c>
      <c r="G48" s="5">
        <v>3037503997.419198</v>
      </c>
      <c r="I48" s="11">
        <f t="shared" si="0"/>
        <v>31048.195337881523</v>
      </c>
      <c r="J48" s="16" t="s">
        <v>84</v>
      </c>
      <c r="K48" s="16" t="s">
        <v>167</v>
      </c>
      <c r="L48" s="17">
        <v>241</v>
      </c>
      <c r="M48" s="17" t="s">
        <v>100</v>
      </c>
      <c r="N48" s="16"/>
      <c r="O48" s="21" t="s">
        <v>168</v>
      </c>
    </row>
    <row r="49" spans="1:15" x14ac:dyDescent="0.3">
      <c r="A49" s="3">
        <v>46295</v>
      </c>
      <c r="B49" t="s">
        <v>10</v>
      </c>
      <c r="C49" s="7">
        <v>3053841797.651371</v>
      </c>
      <c r="D49" s="5">
        <v>2916607719.0012851</v>
      </c>
      <c r="E49" s="5">
        <v>3245843626.7717638</v>
      </c>
      <c r="G49" s="5">
        <v>2925601363.2508788</v>
      </c>
      <c r="I49" s="11">
        <f t="shared" si="0"/>
        <v>30538.417976513709</v>
      </c>
      <c r="J49" s="16" t="s">
        <v>175</v>
      </c>
      <c r="K49" s="16" t="s">
        <v>169</v>
      </c>
      <c r="L49" s="17">
        <v>720</v>
      </c>
      <c r="M49" s="17" t="s">
        <v>100</v>
      </c>
      <c r="N49" s="16"/>
      <c r="O49" s="21" t="s">
        <v>170</v>
      </c>
    </row>
    <row r="50" spans="1:15" x14ac:dyDescent="0.3">
      <c r="A50" s="3">
        <v>45291</v>
      </c>
      <c r="B50" t="s">
        <v>56</v>
      </c>
      <c r="C50" s="5">
        <v>41669233000</v>
      </c>
      <c r="D50" s="5">
        <v>41669233000</v>
      </c>
      <c r="E50" s="5">
        <v>41669233000</v>
      </c>
      <c r="F50" s="5">
        <v>41669233000</v>
      </c>
      <c r="G50" s="5">
        <v>41669233000</v>
      </c>
      <c r="I50" s="11">
        <f t="shared" si="0"/>
        <v>416692.33</v>
      </c>
      <c r="J50" s="16" t="s">
        <v>83</v>
      </c>
      <c r="K50" s="16" t="s">
        <v>171</v>
      </c>
      <c r="L50" s="17">
        <v>815</v>
      </c>
      <c r="M50" s="17">
        <v>814</v>
      </c>
      <c r="N50" s="16"/>
      <c r="O50" s="21" t="s">
        <v>172</v>
      </c>
    </row>
    <row r="51" spans="1:15" x14ac:dyDescent="0.3">
      <c r="A51" s="3">
        <v>45382</v>
      </c>
      <c r="B51" t="s">
        <v>11</v>
      </c>
      <c r="C51" s="5">
        <v>40658539000</v>
      </c>
      <c r="D51" s="5">
        <v>40658539000</v>
      </c>
      <c r="E51" s="5">
        <v>40658539000</v>
      </c>
      <c r="F51" s="5">
        <v>40658539000</v>
      </c>
      <c r="G51" s="5">
        <v>40658539000</v>
      </c>
      <c r="I51" s="11">
        <f t="shared" si="0"/>
        <v>406585.39</v>
      </c>
      <c r="J51" s="16" t="s">
        <v>176</v>
      </c>
      <c r="K51" s="16" t="s">
        <v>173</v>
      </c>
      <c r="L51" s="17">
        <v>391</v>
      </c>
      <c r="M51" s="17" t="s">
        <v>100</v>
      </c>
      <c r="N51" s="16"/>
      <c r="O51" s="21" t="s">
        <v>174</v>
      </c>
    </row>
    <row r="52" spans="1:15" x14ac:dyDescent="0.3">
      <c r="A52" s="3">
        <v>45473</v>
      </c>
      <c r="B52" t="s">
        <v>11</v>
      </c>
      <c r="C52" s="5">
        <v>45020581000</v>
      </c>
      <c r="D52" s="5">
        <v>45020581000</v>
      </c>
      <c r="E52" s="5">
        <v>45020581000</v>
      </c>
      <c r="F52" s="5">
        <v>45020581000</v>
      </c>
      <c r="G52" s="5">
        <v>45020581000</v>
      </c>
      <c r="I52" s="11">
        <f t="shared" si="0"/>
        <v>450205.81</v>
      </c>
    </row>
    <row r="53" spans="1:15" x14ac:dyDescent="0.3">
      <c r="A53" s="3">
        <v>45565</v>
      </c>
      <c r="B53" t="s">
        <v>11</v>
      </c>
      <c r="C53" s="5">
        <v>42928332000</v>
      </c>
      <c r="D53" s="5">
        <v>42928332000</v>
      </c>
      <c r="E53" s="5">
        <v>42928332000</v>
      </c>
      <c r="F53" s="5">
        <v>42928332000</v>
      </c>
      <c r="G53" s="5">
        <v>42928332000</v>
      </c>
      <c r="I53" s="11">
        <f t="shared" si="0"/>
        <v>429283.32</v>
      </c>
    </row>
    <row r="54" spans="1:15" x14ac:dyDescent="0.3">
      <c r="A54" s="3">
        <v>45657</v>
      </c>
      <c r="B54" t="s">
        <v>11</v>
      </c>
      <c r="C54" s="5">
        <v>46623701000</v>
      </c>
      <c r="D54" s="5">
        <v>46623701000</v>
      </c>
      <c r="E54" s="5">
        <v>46623701000</v>
      </c>
      <c r="F54" s="5">
        <v>46623701000</v>
      </c>
      <c r="G54" s="5">
        <v>46623701000</v>
      </c>
      <c r="I54" s="11">
        <f t="shared" si="0"/>
        <v>466237.01</v>
      </c>
    </row>
    <row r="55" spans="1:15" x14ac:dyDescent="0.3">
      <c r="A55" s="3">
        <v>45747</v>
      </c>
      <c r="B55" t="s">
        <v>11</v>
      </c>
      <c r="C55" s="5">
        <v>44407761000</v>
      </c>
      <c r="D55" s="5">
        <v>44407761000</v>
      </c>
      <c r="E55" s="5">
        <v>44407761000</v>
      </c>
      <c r="F55" s="5">
        <v>44407761000</v>
      </c>
      <c r="G55" s="5">
        <v>44407761000</v>
      </c>
      <c r="I55" s="11">
        <f t="shared" si="0"/>
        <v>444077.61</v>
      </c>
    </row>
    <row r="56" spans="1:15" x14ac:dyDescent="0.3">
      <c r="A56" s="3">
        <v>45838</v>
      </c>
      <c r="B56" t="s">
        <v>11</v>
      </c>
      <c r="C56" s="5">
        <v>48286677000</v>
      </c>
      <c r="D56" s="5">
        <v>48286677000</v>
      </c>
      <c r="E56" s="5">
        <v>48286677000</v>
      </c>
      <c r="F56" s="5">
        <v>48286677000</v>
      </c>
      <c r="G56" s="5">
        <v>48286677000</v>
      </c>
      <c r="I56" s="11">
        <f t="shared" si="0"/>
        <v>482866.77</v>
      </c>
    </row>
    <row r="57" spans="1:15" x14ac:dyDescent="0.3">
      <c r="A57" s="3">
        <v>45930</v>
      </c>
      <c r="B57" t="s">
        <v>11</v>
      </c>
      <c r="C57" s="7">
        <v>48022585853.401512</v>
      </c>
      <c r="D57" s="5">
        <v>48600084445.343262</v>
      </c>
      <c r="E57" s="5">
        <v>47088714349.470413</v>
      </c>
      <c r="F57" s="5">
        <v>46655904769.781616</v>
      </c>
      <c r="G57" s="5">
        <v>47799638456.123444</v>
      </c>
      <c r="I57" s="11">
        <f t="shared" si="0"/>
        <v>480225.85853401513</v>
      </c>
    </row>
    <row r="58" spans="1:15" x14ac:dyDescent="0.3">
      <c r="A58" s="3">
        <v>46022</v>
      </c>
      <c r="B58" t="s">
        <v>11</v>
      </c>
      <c r="C58" s="7">
        <v>50004506825.778008</v>
      </c>
      <c r="D58" s="5">
        <v>49690581185.889107</v>
      </c>
      <c r="E58" s="5">
        <v>49756329515.24894</v>
      </c>
      <c r="F58" s="5">
        <v>48914343796.265266</v>
      </c>
      <c r="G58" s="5">
        <v>49515233124.459373</v>
      </c>
      <c r="I58" s="11">
        <f t="shared" si="0"/>
        <v>500045.06825778005</v>
      </c>
    </row>
    <row r="59" spans="1:15" x14ac:dyDescent="0.3">
      <c r="A59" s="3">
        <v>46112</v>
      </c>
      <c r="B59" t="s">
        <v>11</v>
      </c>
      <c r="C59" s="7">
        <v>49026053643.410522</v>
      </c>
      <c r="D59" s="5">
        <v>50757371475.553497</v>
      </c>
      <c r="E59" s="5">
        <v>48034258467.772621</v>
      </c>
      <c r="F59" s="5">
        <v>47278395937.815369</v>
      </c>
      <c r="G59" s="5">
        <v>46230095233.028152</v>
      </c>
      <c r="I59" s="11">
        <f t="shared" si="0"/>
        <v>490260.53643410525</v>
      </c>
    </row>
    <row r="60" spans="1:15" x14ac:dyDescent="0.3">
      <c r="A60" s="3">
        <v>46203</v>
      </c>
      <c r="B60" t="s">
        <v>11</v>
      </c>
      <c r="C60" s="7">
        <v>51936202076.64653</v>
      </c>
      <c r="D60" s="5">
        <v>51836014990.658638</v>
      </c>
      <c r="E60" s="5">
        <v>52087955033.073196</v>
      </c>
      <c r="F60" s="5">
        <v>51354290562.011017</v>
      </c>
      <c r="G60" s="5">
        <v>49468677105.554291</v>
      </c>
      <c r="I60" s="11">
        <f t="shared" si="0"/>
        <v>519362.02076646528</v>
      </c>
    </row>
    <row r="61" spans="1:15" x14ac:dyDescent="0.3">
      <c r="A61" s="3">
        <v>46295</v>
      </c>
      <c r="B61" t="s">
        <v>11</v>
      </c>
      <c r="C61" s="7">
        <v>51964530787.438148</v>
      </c>
      <c r="D61" s="5">
        <v>52926511731.204468</v>
      </c>
      <c r="E61" s="5">
        <v>50800882367.247032</v>
      </c>
      <c r="F61" s="5">
        <v>49603482181.073639</v>
      </c>
      <c r="G61" s="5">
        <v>49019951893.199287</v>
      </c>
      <c r="I61" s="11">
        <f t="shared" si="0"/>
        <v>519645.30787438148</v>
      </c>
    </row>
    <row r="62" spans="1:15" x14ac:dyDescent="0.3">
      <c r="A62" s="3">
        <v>45291</v>
      </c>
      <c r="B62" t="s">
        <v>12</v>
      </c>
      <c r="C62" s="5">
        <v>4638327784.2399998</v>
      </c>
      <c r="D62" s="5">
        <v>4638327784.2399998</v>
      </c>
      <c r="E62" s="5">
        <v>4638327784.2399998</v>
      </c>
      <c r="F62" s="5">
        <v>4638327784.2399998</v>
      </c>
      <c r="G62" s="5">
        <v>4638327784.2399998</v>
      </c>
      <c r="I62" s="11">
        <f t="shared" si="0"/>
        <v>46383.277842399999</v>
      </c>
    </row>
    <row r="63" spans="1:15" x14ac:dyDescent="0.3">
      <c r="A63" s="3">
        <v>45382</v>
      </c>
      <c r="B63" t="s">
        <v>12</v>
      </c>
      <c r="C63" s="5">
        <v>4816180543.3999996</v>
      </c>
      <c r="D63" s="5">
        <v>4816180543.3999996</v>
      </c>
      <c r="E63" s="5">
        <v>4816180543.3999996</v>
      </c>
      <c r="F63" s="5">
        <v>4816180543.3999996</v>
      </c>
      <c r="G63" s="5">
        <v>4816180543.3999996</v>
      </c>
      <c r="I63" s="11">
        <f t="shared" si="0"/>
        <v>48161.805433999994</v>
      </c>
    </row>
    <row r="64" spans="1:15" x14ac:dyDescent="0.3">
      <c r="A64" s="3">
        <v>45473</v>
      </c>
      <c r="B64" t="s">
        <v>12</v>
      </c>
      <c r="C64" s="5">
        <v>4085942678.0999999</v>
      </c>
      <c r="D64" s="5">
        <v>4085942678.0999999</v>
      </c>
      <c r="E64" s="5">
        <v>4085942678.0999999</v>
      </c>
      <c r="F64" s="5">
        <v>4085942678.0999999</v>
      </c>
      <c r="G64" s="5">
        <v>4085942678.0999999</v>
      </c>
      <c r="I64" s="11">
        <f t="shared" si="0"/>
        <v>40859.426781000002</v>
      </c>
    </row>
    <row r="65" spans="1:11" x14ac:dyDescent="0.3">
      <c r="A65" s="3">
        <v>45565</v>
      </c>
      <c r="B65" t="s">
        <v>12</v>
      </c>
      <c r="C65" s="5">
        <v>3935667456.7800002</v>
      </c>
      <c r="D65" s="5">
        <v>3935667456.7800002</v>
      </c>
      <c r="E65" s="5">
        <v>3935667456.7800002</v>
      </c>
      <c r="F65" s="5">
        <v>3935667456.7800002</v>
      </c>
      <c r="G65" s="5">
        <v>3935667456.7800002</v>
      </c>
      <c r="I65" s="11">
        <f t="shared" si="0"/>
        <v>39356.674567800001</v>
      </c>
    </row>
    <row r="66" spans="1:11" x14ac:dyDescent="0.3">
      <c r="A66" s="3">
        <v>45657</v>
      </c>
      <c r="B66" t="s">
        <v>12</v>
      </c>
      <c r="C66" s="5">
        <v>3754458206.0999999</v>
      </c>
      <c r="D66" s="5">
        <v>3754458206.0999999</v>
      </c>
      <c r="E66" s="5">
        <v>3754458206.0999999</v>
      </c>
      <c r="F66" s="5">
        <v>3754458206.0999999</v>
      </c>
      <c r="G66" s="5">
        <v>3754458206.0999999</v>
      </c>
      <c r="I66" s="11">
        <f t="shared" si="0"/>
        <v>37544.582061000001</v>
      </c>
    </row>
    <row r="67" spans="1:11" x14ac:dyDescent="0.3">
      <c r="A67" s="3">
        <v>45747</v>
      </c>
      <c r="B67" t="s">
        <v>12</v>
      </c>
      <c r="C67" s="5">
        <v>3176817731.1700001</v>
      </c>
      <c r="D67" s="5">
        <v>3176817731.1700001</v>
      </c>
      <c r="E67" s="5">
        <v>3176817731.1700001</v>
      </c>
      <c r="F67" s="5">
        <v>3176817731.1700001</v>
      </c>
      <c r="G67" s="5">
        <v>3176817731.1700001</v>
      </c>
      <c r="I67" s="11">
        <f t="shared" si="0"/>
        <v>31768.177311700001</v>
      </c>
    </row>
    <row r="68" spans="1:11" x14ac:dyDescent="0.3">
      <c r="A68" s="3">
        <v>45838</v>
      </c>
      <c r="B68" t="s">
        <v>12</v>
      </c>
      <c r="C68" s="5">
        <v>3179406065.75</v>
      </c>
      <c r="D68" s="5">
        <v>3179406065.75</v>
      </c>
      <c r="E68" s="5">
        <v>3179406065.75</v>
      </c>
      <c r="F68" s="5">
        <v>3179406065.75</v>
      </c>
      <c r="G68" s="5">
        <v>3179406065.75</v>
      </c>
      <c r="I68" s="11">
        <f t="shared" si="0"/>
        <v>31794.060657499998</v>
      </c>
    </row>
    <row r="69" spans="1:11" x14ac:dyDescent="0.3">
      <c r="A69" s="3">
        <v>45930</v>
      </c>
      <c r="B69" t="s">
        <v>12</v>
      </c>
      <c r="C69" s="7">
        <v>2987645482.983366</v>
      </c>
      <c r="D69" s="5">
        <v>5130391746.865963</v>
      </c>
      <c r="E69" s="5">
        <v>3058699091.2085061</v>
      </c>
      <c r="F69" s="5">
        <v>3399514927.0231981</v>
      </c>
      <c r="G69" s="5">
        <v>3361399006.807045</v>
      </c>
      <c r="I69" s="11">
        <f t="shared" si="0"/>
        <v>29876.454829833659</v>
      </c>
    </row>
    <row r="70" spans="1:11" x14ac:dyDescent="0.3">
      <c r="A70" s="3">
        <v>46022</v>
      </c>
      <c r="B70" t="s">
        <v>12</v>
      </c>
      <c r="C70" s="7">
        <v>2707094438.9346919</v>
      </c>
      <c r="D70" s="5">
        <v>5231207368.5976133</v>
      </c>
      <c r="E70" s="5">
        <v>2846349033.2195511</v>
      </c>
      <c r="F70" s="5">
        <v>3267896094.6193838</v>
      </c>
      <c r="G70" s="5">
        <v>3381335645.8555388</v>
      </c>
      <c r="I70" s="11">
        <f t="shared" si="0"/>
        <v>27070.944389346918</v>
      </c>
    </row>
    <row r="71" spans="1:11" x14ac:dyDescent="0.3">
      <c r="A71" s="3">
        <v>46112</v>
      </c>
      <c r="B71" t="s">
        <v>12</v>
      </c>
      <c r="C71" s="7">
        <v>2391843224.9065399</v>
      </c>
      <c r="D71" s="5">
        <v>5329831346.3785734</v>
      </c>
      <c r="E71" s="5">
        <v>2540229399.2358389</v>
      </c>
      <c r="F71" s="5">
        <v>3132464871.0506582</v>
      </c>
      <c r="G71" s="5">
        <v>3211891786.0277619</v>
      </c>
      <c r="I71" s="11">
        <f t="shared" si="0"/>
        <v>23918.432249065398</v>
      </c>
    </row>
    <row r="72" spans="1:11" x14ac:dyDescent="0.3">
      <c r="A72" s="3">
        <v>46203</v>
      </c>
      <c r="B72" t="s">
        <v>12</v>
      </c>
      <c r="C72" s="7">
        <v>2244632683.877502</v>
      </c>
      <c r="D72" s="5">
        <v>5429551146.1348791</v>
      </c>
      <c r="E72" s="5">
        <v>2510002927.4900398</v>
      </c>
      <c r="F72" s="5">
        <v>3268460725.8171229</v>
      </c>
      <c r="G72" s="5">
        <v>3378171409.1034942</v>
      </c>
      <c r="I72" s="11">
        <f t="shared" si="0"/>
        <v>22446.326838775021</v>
      </c>
    </row>
    <row r="73" spans="1:11" x14ac:dyDescent="0.3">
      <c r="A73" s="3">
        <v>46295</v>
      </c>
      <c r="B73" t="s">
        <v>12</v>
      </c>
      <c r="C73" s="7">
        <v>2119840507.5914879</v>
      </c>
      <c r="D73" s="5">
        <v>5530366767.8665276</v>
      </c>
      <c r="E73" s="5">
        <v>2464060135.9673061</v>
      </c>
      <c r="F73" s="5">
        <v>3594308518.8715138</v>
      </c>
      <c r="G73" s="5">
        <v>3568283646.6734071</v>
      </c>
      <c r="I73" s="11">
        <f t="shared" si="0"/>
        <v>21198.405075914878</v>
      </c>
      <c r="J73" s="13">
        <f>(C69+F69)/2</f>
        <v>3193580205.0032821</v>
      </c>
      <c r="K73" s="12">
        <f>J73/100000</f>
        <v>31935.80205003282</v>
      </c>
    </row>
    <row r="74" spans="1:11" x14ac:dyDescent="0.3">
      <c r="A74" s="3">
        <v>45291</v>
      </c>
      <c r="B74" t="s">
        <v>13</v>
      </c>
      <c r="C74" s="5">
        <v>1998506290.6600001</v>
      </c>
      <c r="D74" s="5">
        <v>1998506290.6600001</v>
      </c>
      <c r="E74" s="5">
        <v>1998506290.6600001</v>
      </c>
      <c r="F74" s="5">
        <v>1998506290.6600001</v>
      </c>
      <c r="G74" s="5">
        <v>1998506290.6600001</v>
      </c>
      <c r="I74" s="11">
        <f t="shared" si="0"/>
        <v>19985.0629066</v>
      </c>
      <c r="J74" s="13">
        <f>(C70+F70)/2</f>
        <v>2987495266.7770376</v>
      </c>
      <c r="K74" s="12">
        <f t="shared" ref="K74:K78" si="1">J74/100000</f>
        <v>29874.952667770376</v>
      </c>
    </row>
    <row r="75" spans="1:11" x14ac:dyDescent="0.3">
      <c r="A75" s="3">
        <v>45382</v>
      </c>
      <c r="B75" t="s">
        <v>13</v>
      </c>
      <c r="C75" s="5">
        <v>1988350132.02</v>
      </c>
      <c r="D75" s="5">
        <v>1988350132.02</v>
      </c>
      <c r="E75" s="5">
        <v>1988350132.02</v>
      </c>
      <c r="F75" s="5">
        <v>1988350132.02</v>
      </c>
      <c r="G75" s="5">
        <v>1988350132.02</v>
      </c>
      <c r="I75" s="11">
        <f t="shared" si="0"/>
        <v>19883.501320200001</v>
      </c>
      <c r="J75" s="13">
        <f>(C71+F71)/2</f>
        <v>2762154047.9785991</v>
      </c>
      <c r="K75" s="12">
        <f t="shared" si="1"/>
        <v>27621.540479785992</v>
      </c>
    </row>
    <row r="76" spans="1:11" x14ac:dyDescent="0.3">
      <c r="A76" s="3">
        <v>45473</v>
      </c>
      <c r="B76" t="s">
        <v>13</v>
      </c>
      <c r="C76" s="5">
        <v>2004898184.52</v>
      </c>
      <c r="D76" s="5">
        <v>2004898184.52</v>
      </c>
      <c r="E76" s="5">
        <v>2004898184.52</v>
      </c>
      <c r="F76" s="5">
        <v>2004898184.52</v>
      </c>
      <c r="G76" s="5">
        <v>2004898184.52</v>
      </c>
      <c r="I76" s="11">
        <f t="shared" si="0"/>
        <v>20048.9818452</v>
      </c>
      <c r="J76" s="13">
        <f>(C72+F72)/2</f>
        <v>2756546704.8473125</v>
      </c>
      <c r="K76" s="12">
        <f t="shared" si="1"/>
        <v>27565.467048473125</v>
      </c>
    </row>
    <row r="77" spans="1:11" x14ac:dyDescent="0.3">
      <c r="A77" s="3">
        <v>45565</v>
      </c>
      <c r="B77" t="s">
        <v>13</v>
      </c>
      <c r="C77" s="5">
        <v>1921397995.0999999</v>
      </c>
      <c r="D77" s="5">
        <v>1921397995.0999999</v>
      </c>
      <c r="E77" s="5">
        <v>1921397995.0999999</v>
      </c>
      <c r="F77" s="5">
        <v>1921397995.0999999</v>
      </c>
      <c r="G77" s="5">
        <v>1921397995.0999999</v>
      </c>
      <c r="I77" s="11">
        <f t="shared" si="0"/>
        <v>19213.979950999998</v>
      </c>
      <c r="J77" s="13">
        <f>(C73+F73)/2</f>
        <v>2857074513.2315006</v>
      </c>
      <c r="K77" s="12">
        <f t="shared" si="1"/>
        <v>28570.745132315005</v>
      </c>
    </row>
    <row r="78" spans="1:11" x14ac:dyDescent="0.3">
      <c r="A78" s="3">
        <v>45657</v>
      </c>
      <c r="B78" t="s">
        <v>13</v>
      </c>
      <c r="C78" s="5">
        <v>1957045888.24</v>
      </c>
      <c r="D78" s="5">
        <v>1957045888.24</v>
      </c>
      <c r="E78" s="5">
        <v>1957045888.24</v>
      </c>
      <c r="F78" s="5">
        <v>1957045888.24</v>
      </c>
      <c r="G78" s="5">
        <v>1957045888.24</v>
      </c>
      <c r="I78" s="11">
        <f t="shared" si="0"/>
        <v>19570.458882399998</v>
      </c>
      <c r="J78" s="13">
        <f>(C74+F74)/2</f>
        <v>1998506290.6600001</v>
      </c>
      <c r="K78" s="12">
        <f t="shared" si="1"/>
        <v>19985.0629066</v>
      </c>
    </row>
    <row r="79" spans="1:11" x14ac:dyDescent="0.3">
      <c r="A79" s="3">
        <v>45747</v>
      </c>
      <c r="B79" t="s">
        <v>13</v>
      </c>
      <c r="C79" s="5">
        <v>1863730780.3699999</v>
      </c>
      <c r="D79" s="5">
        <v>1863730780.3699999</v>
      </c>
      <c r="E79" s="5">
        <v>1863730780.3699999</v>
      </c>
      <c r="F79" s="5">
        <v>1863730780.3699999</v>
      </c>
      <c r="G79" s="5">
        <v>1863730780.3699999</v>
      </c>
      <c r="I79" s="11">
        <f t="shared" si="0"/>
        <v>18637.307803699998</v>
      </c>
    </row>
    <row r="80" spans="1:11" x14ac:dyDescent="0.3">
      <c r="A80" s="3">
        <v>45838</v>
      </c>
      <c r="B80" t="s">
        <v>13</v>
      </c>
      <c r="C80" s="5">
        <v>2028312877.03</v>
      </c>
      <c r="D80" s="5">
        <v>2028312877.03</v>
      </c>
      <c r="E80" s="5">
        <v>2028312877.03</v>
      </c>
      <c r="F80" s="5">
        <v>2028312877.03</v>
      </c>
      <c r="G80" s="5">
        <v>2028312877.03</v>
      </c>
      <c r="I80" s="11">
        <f t="shared" si="0"/>
        <v>20283.128770299998</v>
      </c>
    </row>
    <row r="81" spans="1:11" x14ac:dyDescent="0.3">
      <c r="A81" s="3">
        <v>45930</v>
      </c>
      <c r="B81" t="s">
        <v>87</v>
      </c>
      <c r="C81" s="7">
        <v>2055664222.5377159</v>
      </c>
      <c r="D81" s="5">
        <v>2207734976.035152</v>
      </c>
      <c r="E81" s="5">
        <v>2183649811.8521872</v>
      </c>
      <c r="G81" s="5">
        <v>2076468267.226984</v>
      </c>
      <c r="I81" s="11">
        <f t="shared" si="0"/>
        <v>20556.64222537716</v>
      </c>
    </row>
    <row r="82" spans="1:11" x14ac:dyDescent="0.3">
      <c r="A82" s="3">
        <v>46022</v>
      </c>
      <c r="B82" t="s">
        <v>13</v>
      </c>
      <c r="C82" s="7">
        <v>1994616312.1702499</v>
      </c>
      <c r="D82" s="5">
        <v>2259921694.1088209</v>
      </c>
      <c r="E82" s="5">
        <v>2105734799.925456</v>
      </c>
      <c r="G82" s="5">
        <v>2027531665.3030519</v>
      </c>
      <c r="I82" s="11">
        <f t="shared" si="0"/>
        <v>19946.163121702499</v>
      </c>
    </row>
    <row r="83" spans="1:11" x14ac:dyDescent="0.3">
      <c r="A83" s="3">
        <v>46112</v>
      </c>
      <c r="B83" t="s">
        <v>13</v>
      </c>
      <c r="C83" s="7">
        <v>2020178953.173321</v>
      </c>
      <c r="D83" s="5">
        <v>2310973918.3113222</v>
      </c>
      <c r="E83" s="5">
        <v>2034015708.700912</v>
      </c>
      <c r="G83" s="5">
        <v>1994423770.06598</v>
      </c>
      <c r="I83" s="11">
        <f t="shared" si="0"/>
        <v>20201.789531733211</v>
      </c>
    </row>
    <row r="84" spans="1:11" x14ac:dyDescent="0.3">
      <c r="A84" s="3">
        <v>46203</v>
      </c>
      <c r="B84" t="s">
        <v>13</v>
      </c>
      <c r="C84" s="7">
        <v>2165216623.0827441</v>
      </c>
      <c r="D84" s="5">
        <v>2362593389.4494061</v>
      </c>
      <c r="E84" s="5">
        <v>2245159575.5319729</v>
      </c>
      <c r="G84" s="5">
        <v>2133296151.5367701</v>
      </c>
      <c r="I84" s="11">
        <f t="shared" si="0"/>
        <v>21652.166230827443</v>
      </c>
    </row>
    <row r="85" spans="1:11" x14ac:dyDescent="0.3">
      <c r="A85" s="3">
        <v>46295</v>
      </c>
      <c r="B85" t="s">
        <v>13</v>
      </c>
      <c r="C85" s="7">
        <v>2196812233.5216122</v>
      </c>
      <c r="D85" s="5">
        <v>2414780107.5230742</v>
      </c>
      <c r="E85" s="5">
        <v>2356986225.2713122</v>
      </c>
      <c r="G85" s="5">
        <v>2183052440.3136821</v>
      </c>
      <c r="I85" s="11">
        <f t="shared" si="0"/>
        <v>21968.122335216121</v>
      </c>
    </row>
    <row r="86" spans="1:11" x14ac:dyDescent="0.3">
      <c r="A86" s="3">
        <v>45291</v>
      </c>
      <c r="B86" t="s">
        <v>14</v>
      </c>
      <c r="C86" s="5">
        <v>24328154000</v>
      </c>
      <c r="D86" s="5">
        <v>24328154000</v>
      </c>
      <c r="E86" s="5">
        <v>24328154000</v>
      </c>
      <c r="F86" s="5">
        <v>24328154000</v>
      </c>
      <c r="G86" s="5">
        <v>24328154000</v>
      </c>
      <c r="I86" s="11">
        <f t="shared" si="0"/>
        <v>243281.54</v>
      </c>
      <c r="J86" s="13">
        <f>(C81+E81)/2</f>
        <v>2119657017.1949515</v>
      </c>
      <c r="K86" s="12">
        <f>J86/100000</f>
        <v>21196.570171949515</v>
      </c>
    </row>
    <row r="87" spans="1:11" x14ac:dyDescent="0.3">
      <c r="A87" s="3">
        <v>45382</v>
      </c>
      <c r="B87" t="s">
        <v>14</v>
      </c>
      <c r="C87" s="5">
        <v>26212851000</v>
      </c>
      <c r="D87" s="5">
        <v>26212851000</v>
      </c>
      <c r="E87" s="5">
        <v>26212851000</v>
      </c>
      <c r="F87" s="5">
        <v>26212851000</v>
      </c>
      <c r="G87" s="5">
        <v>26212851000</v>
      </c>
      <c r="I87" s="11">
        <f t="shared" si="0"/>
        <v>262128.51</v>
      </c>
      <c r="J87" s="13">
        <f>(C82+E82)/2</f>
        <v>2050175556.047853</v>
      </c>
      <c r="K87" s="12">
        <f t="shared" ref="K87:K90" si="2">J87/100000</f>
        <v>20501.75556047853</v>
      </c>
    </row>
    <row r="88" spans="1:11" x14ac:dyDescent="0.3">
      <c r="A88" s="3">
        <v>45473</v>
      </c>
      <c r="B88" t="s">
        <v>14</v>
      </c>
      <c r="C88" s="5">
        <v>27567907000</v>
      </c>
      <c r="D88" s="5">
        <v>27567907000</v>
      </c>
      <c r="E88" s="5">
        <v>27567907000</v>
      </c>
      <c r="F88" s="5">
        <v>27567907000</v>
      </c>
      <c r="G88" s="5">
        <v>27567907000</v>
      </c>
      <c r="I88" s="11">
        <f t="shared" si="0"/>
        <v>275679.07</v>
      </c>
      <c r="J88" s="13">
        <f>(C83+E83)/2</f>
        <v>2027097330.9371166</v>
      </c>
      <c r="K88" s="12">
        <f t="shared" si="2"/>
        <v>20270.973309371166</v>
      </c>
    </row>
    <row r="89" spans="1:11" x14ac:dyDescent="0.3">
      <c r="A89" s="3">
        <v>45565</v>
      </c>
      <c r="B89" t="s">
        <v>14</v>
      </c>
      <c r="C89" s="5">
        <v>26519877000</v>
      </c>
      <c r="D89" s="5">
        <v>26519877000</v>
      </c>
      <c r="E89" s="5">
        <v>26519877000</v>
      </c>
      <c r="F89" s="5">
        <v>26519877000</v>
      </c>
      <c r="G89" s="5">
        <v>26519877000</v>
      </c>
      <c r="I89" s="11">
        <f t="shared" si="0"/>
        <v>265198.77</v>
      </c>
      <c r="J89" s="13">
        <f>(C84+E84)/2</f>
        <v>2205188099.3073587</v>
      </c>
      <c r="K89" s="12">
        <f t="shared" si="2"/>
        <v>22051.880993073588</v>
      </c>
    </row>
    <row r="90" spans="1:11" x14ac:dyDescent="0.3">
      <c r="A90" s="3">
        <v>45657</v>
      </c>
      <c r="B90" t="s">
        <v>14</v>
      </c>
      <c r="C90" s="5">
        <v>27148117000</v>
      </c>
      <c r="D90" s="5">
        <v>27148117000</v>
      </c>
      <c r="E90" s="5">
        <v>27148117000</v>
      </c>
      <c r="F90" s="5">
        <v>27148117000</v>
      </c>
      <c r="G90" s="5">
        <v>27148117000</v>
      </c>
      <c r="I90" s="11">
        <f t="shared" si="0"/>
        <v>271481.17</v>
      </c>
      <c r="J90" s="13">
        <f>(C85+E85)/2</f>
        <v>2276899229.3964624</v>
      </c>
      <c r="K90" s="12">
        <f t="shared" si="2"/>
        <v>22768.992293964624</v>
      </c>
    </row>
    <row r="91" spans="1:11" x14ac:dyDescent="0.3">
      <c r="A91" s="3">
        <v>45747</v>
      </c>
      <c r="B91" t="s">
        <v>14</v>
      </c>
      <c r="C91" s="5">
        <v>28017510000</v>
      </c>
      <c r="D91" s="5">
        <v>28017510000</v>
      </c>
      <c r="E91" s="5">
        <v>28017510000</v>
      </c>
      <c r="F91" s="5">
        <v>28017510000</v>
      </c>
      <c r="G91" s="5">
        <v>28017510000</v>
      </c>
      <c r="I91" s="11">
        <f t="shared" si="0"/>
        <v>280175.09999999998</v>
      </c>
      <c r="J91" s="13"/>
      <c r="K91" s="12"/>
    </row>
    <row r="92" spans="1:11" x14ac:dyDescent="0.3">
      <c r="A92" s="3">
        <v>45838</v>
      </c>
      <c r="B92" t="s">
        <v>14</v>
      </c>
      <c r="C92" s="5">
        <v>29349635000</v>
      </c>
      <c r="D92" s="5">
        <v>29349635000</v>
      </c>
      <c r="E92" s="5">
        <v>29349635000</v>
      </c>
      <c r="F92" s="5">
        <v>29349635000</v>
      </c>
      <c r="G92" s="5">
        <v>29349635000</v>
      </c>
      <c r="I92" s="11">
        <f t="shared" si="0"/>
        <v>293496.34999999998</v>
      </c>
    </row>
    <row r="93" spans="1:11" x14ac:dyDescent="0.3">
      <c r="A93" s="3">
        <v>45930</v>
      </c>
      <c r="B93" t="s">
        <v>14</v>
      </c>
      <c r="C93" s="7">
        <v>29844329189.40432</v>
      </c>
      <c r="D93" s="5">
        <v>29836087212.54158</v>
      </c>
      <c r="E93" s="5">
        <v>29047970608.540428</v>
      </c>
      <c r="F93" s="5">
        <v>27259860942.91737</v>
      </c>
      <c r="G93" s="5">
        <v>29808707169.436531</v>
      </c>
      <c r="I93" s="11">
        <f t="shared" si="0"/>
        <v>298443.29189404321</v>
      </c>
    </row>
    <row r="94" spans="1:11" x14ac:dyDescent="0.3">
      <c r="A94" s="3">
        <v>46022</v>
      </c>
      <c r="B94" t="s">
        <v>14</v>
      </c>
      <c r="C94" s="7">
        <v>29894299679.7103</v>
      </c>
      <c r="D94" s="5">
        <v>30526751092.711021</v>
      </c>
      <c r="E94" s="5">
        <v>29201994400.941189</v>
      </c>
      <c r="F94" s="5">
        <v>27444384236.729561</v>
      </c>
      <c r="G94" s="5">
        <v>29118650036.2701</v>
      </c>
      <c r="I94" s="11">
        <f t="shared" si="0"/>
        <v>298942.99679710303</v>
      </c>
    </row>
    <row r="95" spans="1:11" x14ac:dyDescent="0.3">
      <c r="A95" s="3">
        <v>46112</v>
      </c>
      <c r="B95" t="s">
        <v>14</v>
      </c>
      <c r="C95" s="7">
        <v>29952379350.103588</v>
      </c>
      <c r="D95" s="5">
        <v>31202400540.70285</v>
      </c>
      <c r="E95" s="5">
        <v>30244813736.545952</v>
      </c>
      <c r="F95" s="5">
        <v>28015590483.469841</v>
      </c>
      <c r="G95" s="5">
        <v>28443895635.788761</v>
      </c>
      <c r="I95" s="11">
        <f t="shared" si="0"/>
        <v>299523.79350103589</v>
      </c>
    </row>
    <row r="96" spans="1:11" x14ac:dyDescent="0.3">
      <c r="A96" s="3">
        <v>46203</v>
      </c>
      <c r="B96" t="s">
        <v>14</v>
      </c>
      <c r="C96" s="7">
        <v>31916055306.48027</v>
      </c>
      <c r="D96" s="5">
        <v>31885557204.783501</v>
      </c>
      <c r="E96" s="5">
        <v>31784794386.201061</v>
      </c>
      <c r="F96" s="5">
        <v>29904247680.762341</v>
      </c>
      <c r="G96" s="5">
        <v>30237492761.339439</v>
      </c>
      <c r="I96" s="11">
        <f t="shared" si="0"/>
        <v>319160.55306480272</v>
      </c>
    </row>
    <row r="97" spans="1:11" x14ac:dyDescent="0.3">
      <c r="A97" s="3">
        <v>46295</v>
      </c>
      <c r="B97" t="s">
        <v>14</v>
      </c>
      <c r="C97" s="7">
        <v>32267282251.25362</v>
      </c>
      <c r="D97" s="5">
        <v>32576221084.95293</v>
      </c>
      <c r="E97" s="5">
        <v>31374280195.773159</v>
      </c>
      <c r="F97" s="5">
        <v>28374099781.34074</v>
      </c>
      <c r="G97" s="5">
        <v>30676984205.112011</v>
      </c>
      <c r="I97" s="11">
        <f t="shared" si="0"/>
        <v>322672.82251253619</v>
      </c>
    </row>
    <row r="98" spans="1:11" x14ac:dyDescent="0.3">
      <c r="A98" s="3">
        <v>45291</v>
      </c>
      <c r="B98" t="s">
        <v>15</v>
      </c>
      <c r="C98" s="5">
        <v>382597510.57999998</v>
      </c>
      <c r="D98" s="5">
        <v>382597510.57999998</v>
      </c>
      <c r="E98" s="5">
        <v>382597510.57999998</v>
      </c>
      <c r="F98" s="5">
        <v>382597510.57999998</v>
      </c>
      <c r="G98" s="5">
        <v>382597510.57999998</v>
      </c>
      <c r="I98" s="11">
        <f t="shared" ref="I98:I161" si="3">C98/100000</f>
        <v>3825.9751057999997</v>
      </c>
      <c r="J98" s="13">
        <f>(C93+F93)/2</f>
        <v>28552095066.160843</v>
      </c>
      <c r="K98" s="12">
        <f>J98/100000</f>
        <v>285520.95066160843</v>
      </c>
    </row>
    <row r="99" spans="1:11" x14ac:dyDescent="0.3">
      <c r="A99" s="3">
        <v>45382</v>
      </c>
      <c r="B99" t="s">
        <v>15</v>
      </c>
      <c r="C99" s="5">
        <v>736980406.83000004</v>
      </c>
      <c r="D99" s="5">
        <v>736980406.83000004</v>
      </c>
      <c r="E99" s="5">
        <v>736980406.83000004</v>
      </c>
      <c r="F99" s="5">
        <v>736980406.83000004</v>
      </c>
      <c r="G99" s="5">
        <v>736980406.83000004</v>
      </c>
      <c r="I99" s="11">
        <f t="shared" si="3"/>
        <v>7369.8040683000008</v>
      </c>
      <c r="J99" s="13">
        <f>(C94+F94)/2</f>
        <v>28669341958.219933</v>
      </c>
      <c r="K99" s="12">
        <f t="shared" ref="K99:K103" si="4">J99/100000</f>
        <v>286693.41958219931</v>
      </c>
    </row>
    <row r="100" spans="1:11" x14ac:dyDescent="0.3">
      <c r="A100" s="3">
        <v>45473</v>
      </c>
      <c r="B100" t="s">
        <v>15</v>
      </c>
      <c r="C100" s="5">
        <v>874741298.99000001</v>
      </c>
      <c r="D100" s="5">
        <v>874741298.99000001</v>
      </c>
      <c r="E100" s="5">
        <v>874741298.99000001</v>
      </c>
      <c r="F100" s="5">
        <v>874741298.99000001</v>
      </c>
      <c r="G100" s="5">
        <v>874741298.99000001</v>
      </c>
      <c r="I100" s="11">
        <f t="shared" si="3"/>
        <v>8747.4129899</v>
      </c>
      <c r="J100" s="13">
        <f>(C95+F95)/2</f>
        <v>28983984916.786713</v>
      </c>
      <c r="K100" s="12">
        <f t="shared" si="4"/>
        <v>289839.8491678671</v>
      </c>
    </row>
    <row r="101" spans="1:11" x14ac:dyDescent="0.3">
      <c r="A101" s="3">
        <v>45565</v>
      </c>
      <c r="B101" t="s">
        <v>57</v>
      </c>
      <c r="C101" s="5">
        <v>881933317.83000004</v>
      </c>
      <c r="D101" s="5">
        <v>881933317.83000004</v>
      </c>
      <c r="E101" s="5">
        <v>881933317.83000004</v>
      </c>
      <c r="F101" s="5">
        <v>881933317.83000004</v>
      </c>
      <c r="G101" s="5">
        <v>881933317.83000004</v>
      </c>
      <c r="I101" s="11">
        <f t="shared" si="3"/>
        <v>8819.3331783000012</v>
      </c>
      <c r="J101" s="13">
        <f>(C96+F96)/2</f>
        <v>30910151493.621307</v>
      </c>
      <c r="K101" s="12">
        <f t="shared" si="4"/>
        <v>309101.51493621309</v>
      </c>
    </row>
    <row r="102" spans="1:11" x14ac:dyDescent="0.3">
      <c r="A102" s="3">
        <v>45657</v>
      </c>
      <c r="B102" t="s">
        <v>15</v>
      </c>
      <c r="C102" s="5">
        <v>1063648530.72</v>
      </c>
      <c r="D102" s="5">
        <v>1063648530.72</v>
      </c>
      <c r="E102" s="5">
        <v>1063648530.72</v>
      </c>
      <c r="F102" s="5">
        <v>1063648530.72</v>
      </c>
      <c r="G102" s="5">
        <v>1063648530.72</v>
      </c>
      <c r="I102" s="11">
        <f t="shared" si="3"/>
        <v>10636.485307200001</v>
      </c>
      <c r="J102" s="13">
        <f>(C97+F97)/2</f>
        <v>30320691016.29718</v>
      </c>
      <c r="K102" s="12">
        <f t="shared" si="4"/>
        <v>303206.91016297182</v>
      </c>
    </row>
    <row r="103" spans="1:11" x14ac:dyDescent="0.3">
      <c r="A103" s="3">
        <v>45747</v>
      </c>
      <c r="B103" t="s">
        <v>15</v>
      </c>
      <c r="C103" s="5">
        <v>841911660.22000003</v>
      </c>
      <c r="D103" s="5">
        <v>841911660.22000003</v>
      </c>
      <c r="E103" s="5">
        <v>841911660.22000003</v>
      </c>
      <c r="F103" s="5">
        <v>841911660.22000003</v>
      </c>
      <c r="G103" s="5">
        <v>841911660.22000003</v>
      </c>
      <c r="I103" s="11">
        <f t="shared" si="3"/>
        <v>8419.1166021999998</v>
      </c>
      <c r="J103" s="13">
        <f>(C98+F98)/2</f>
        <v>382597510.57999998</v>
      </c>
      <c r="K103" s="12">
        <f t="shared" si="4"/>
        <v>3825.9751057999997</v>
      </c>
    </row>
    <row r="104" spans="1:11" x14ac:dyDescent="0.3">
      <c r="A104" s="3">
        <v>45838</v>
      </c>
      <c r="B104" t="s">
        <v>15</v>
      </c>
      <c r="C104" s="5">
        <v>961457364.49000001</v>
      </c>
      <c r="D104" s="5">
        <v>961457364.49000001</v>
      </c>
      <c r="E104" s="5">
        <v>961457364.49000001</v>
      </c>
      <c r="F104" s="5">
        <v>961457364.49000001</v>
      </c>
      <c r="G104" s="5">
        <v>961457364.49000001</v>
      </c>
      <c r="I104" s="11">
        <f t="shared" si="3"/>
        <v>9614.5736448999996</v>
      </c>
    </row>
    <row r="105" spans="1:11" x14ac:dyDescent="0.3">
      <c r="A105" s="3">
        <v>45930</v>
      </c>
      <c r="B105" t="s">
        <v>15</v>
      </c>
      <c r="C105" s="7">
        <v>948124637.71487164</v>
      </c>
      <c r="D105" s="5">
        <v>829748799.28167331</v>
      </c>
      <c r="E105" s="5">
        <v>993602017.19785285</v>
      </c>
      <c r="F105" s="5">
        <v>959782679.23316598</v>
      </c>
      <c r="G105" s="5">
        <v>974610155.70977902</v>
      </c>
      <c r="I105" s="11">
        <f t="shared" si="3"/>
        <v>9481.2463771487164</v>
      </c>
    </row>
    <row r="106" spans="1:11" x14ac:dyDescent="0.3">
      <c r="A106" s="3">
        <v>46022</v>
      </c>
      <c r="B106" t="s">
        <v>15</v>
      </c>
      <c r="C106" s="7">
        <v>977728108.83429945</v>
      </c>
      <c r="D106" s="5">
        <v>848668863.33923006</v>
      </c>
      <c r="E106" s="5">
        <v>1057310396.74461</v>
      </c>
      <c r="F106" s="5">
        <v>958708150.2327708</v>
      </c>
      <c r="G106" s="5">
        <v>985850592.6062814</v>
      </c>
      <c r="I106" s="11">
        <f t="shared" si="3"/>
        <v>9777.2810883429938</v>
      </c>
    </row>
    <row r="107" spans="1:11" x14ac:dyDescent="0.3">
      <c r="A107" s="3">
        <v>46112</v>
      </c>
      <c r="B107" t="s">
        <v>15</v>
      </c>
      <c r="C107" s="7">
        <v>953730889.84690845</v>
      </c>
      <c r="D107" s="5">
        <v>867177621.65640485</v>
      </c>
      <c r="E107" s="5">
        <v>1098575521.93554</v>
      </c>
      <c r="F107" s="5">
        <v>1072330938.493287</v>
      </c>
      <c r="G107" s="5">
        <v>915856111.4082104</v>
      </c>
      <c r="I107" s="11">
        <f t="shared" si="3"/>
        <v>9537.3088984690839</v>
      </c>
    </row>
    <row r="108" spans="1:11" x14ac:dyDescent="0.3">
      <c r="A108" s="3">
        <v>46203</v>
      </c>
      <c r="B108" t="s">
        <v>15</v>
      </c>
      <c r="C108" s="7">
        <v>995112053.84677517</v>
      </c>
      <c r="D108" s="5">
        <v>885892032.84377062</v>
      </c>
      <c r="E108" s="5">
        <v>1152651893.5516181</v>
      </c>
      <c r="F108" s="5">
        <v>1090290325.745512</v>
      </c>
      <c r="G108" s="5">
        <v>994188135.77198899</v>
      </c>
      <c r="I108" s="11">
        <f t="shared" si="3"/>
        <v>9951.1205384677523</v>
      </c>
    </row>
    <row r="109" spans="1:11" x14ac:dyDescent="0.3">
      <c r="A109" s="3">
        <v>46295</v>
      </c>
      <c r="B109" t="s">
        <v>15</v>
      </c>
      <c r="C109" s="7">
        <v>997557108.98813677</v>
      </c>
      <c r="D109" s="5">
        <v>904812096.90132701</v>
      </c>
      <c r="E109" s="5">
        <v>1183937596.127857</v>
      </c>
      <c r="G109" s="5">
        <v>1013102820.339059</v>
      </c>
      <c r="I109" s="11">
        <f t="shared" si="3"/>
        <v>9975.5710898813668</v>
      </c>
    </row>
    <row r="110" spans="1:11" x14ac:dyDescent="0.3">
      <c r="A110" s="3">
        <v>45565</v>
      </c>
      <c r="B110" t="s">
        <v>58</v>
      </c>
      <c r="C110" s="5">
        <v>1187075475.9300001</v>
      </c>
      <c r="D110" s="5">
        <v>1187075475.9300001</v>
      </c>
      <c r="E110" s="5">
        <v>1187075475.9300001</v>
      </c>
      <c r="F110" s="5">
        <v>1187075475.9300001</v>
      </c>
      <c r="G110" s="5">
        <v>1187075475.9300001</v>
      </c>
      <c r="I110" s="11">
        <f t="shared" si="3"/>
        <v>11870.7547593</v>
      </c>
      <c r="J110" s="13">
        <f>(C105+F105)/2</f>
        <v>953953658.47401881</v>
      </c>
      <c r="K110" s="12">
        <f>J110/100000</f>
        <v>9539.5365847401881</v>
      </c>
    </row>
    <row r="111" spans="1:11" x14ac:dyDescent="0.3">
      <c r="A111" s="3">
        <v>45657</v>
      </c>
      <c r="B111" t="s">
        <v>16</v>
      </c>
      <c r="C111" s="5">
        <v>1256439192.4100001</v>
      </c>
      <c r="D111" s="5">
        <v>1256439192.4100001</v>
      </c>
      <c r="E111" s="5">
        <v>1256439192.4100001</v>
      </c>
      <c r="F111" s="5">
        <v>1256439192.4100001</v>
      </c>
      <c r="G111" s="5">
        <v>1256439192.4100001</v>
      </c>
      <c r="I111" s="11">
        <f t="shared" si="3"/>
        <v>12564.3919241</v>
      </c>
      <c r="J111" s="13">
        <f>(C106+F106)/2</f>
        <v>968218129.53353512</v>
      </c>
      <c r="K111" s="12">
        <f t="shared" ref="K111:K115" si="5">J111/100000</f>
        <v>9682.181295335351</v>
      </c>
    </row>
    <row r="112" spans="1:11" x14ac:dyDescent="0.3">
      <c r="A112" s="3">
        <v>45747</v>
      </c>
      <c r="B112" t="s">
        <v>16</v>
      </c>
      <c r="C112" s="5">
        <v>1298272949.8499999</v>
      </c>
      <c r="D112" s="5">
        <v>1298272949.8499999</v>
      </c>
      <c r="E112" s="5">
        <v>1298272949.8499999</v>
      </c>
      <c r="F112" s="5">
        <v>1298272949.8499999</v>
      </c>
      <c r="G112" s="5">
        <v>1298272949.8499999</v>
      </c>
      <c r="I112" s="11">
        <f t="shared" si="3"/>
        <v>12982.729498499999</v>
      </c>
      <c r="J112" s="13">
        <f>(C107+F107)/2</f>
        <v>1013030914.1700977</v>
      </c>
      <c r="K112" s="12">
        <f t="shared" si="5"/>
        <v>10130.309141700976</v>
      </c>
    </row>
    <row r="113" spans="1:11" x14ac:dyDescent="0.3">
      <c r="A113" s="3">
        <v>45838</v>
      </c>
      <c r="B113" t="s">
        <v>16</v>
      </c>
      <c r="C113" s="5">
        <v>1289905421.4100001</v>
      </c>
      <c r="D113" s="5">
        <v>1289905421.4100001</v>
      </c>
      <c r="E113" s="5">
        <v>1289905421.4100001</v>
      </c>
      <c r="F113" s="5">
        <v>1289905421.4100001</v>
      </c>
      <c r="G113" s="5">
        <v>1289905421.4100001</v>
      </c>
      <c r="I113" s="11">
        <f t="shared" si="3"/>
        <v>12899.054214100001</v>
      </c>
      <c r="J113" s="13">
        <f>(C108+F108)/2</f>
        <v>1042701189.7961435</v>
      </c>
      <c r="K113" s="12">
        <f t="shared" si="5"/>
        <v>10427.011897961434</v>
      </c>
    </row>
    <row r="114" spans="1:11" x14ac:dyDescent="0.3">
      <c r="A114" s="3">
        <v>45869</v>
      </c>
      <c r="B114" t="s">
        <v>16</v>
      </c>
      <c r="C114" s="5">
        <v>1383419184.5158851</v>
      </c>
      <c r="D114" s="5">
        <v>1325651181.4434841</v>
      </c>
      <c r="E114" s="5">
        <v>1183263321.213505</v>
      </c>
      <c r="G114" s="5">
        <v>1311093991.971993</v>
      </c>
      <c r="I114" s="11">
        <f t="shared" si="3"/>
        <v>13834.191845158852</v>
      </c>
      <c r="J114" s="13">
        <f>(C109+F109)/2</f>
        <v>498778554.49406838</v>
      </c>
      <c r="K114" s="12">
        <f t="shared" si="5"/>
        <v>4987.7855449406834</v>
      </c>
    </row>
    <row r="115" spans="1:11" x14ac:dyDescent="0.3">
      <c r="A115" s="3">
        <v>45900</v>
      </c>
      <c r="B115" t="s">
        <v>16</v>
      </c>
      <c r="C115" s="5">
        <v>1420529819.65311</v>
      </c>
      <c r="D115" s="5">
        <v>1343697361.634768</v>
      </c>
      <c r="E115" s="5">
        <v>1304298445.8067391</v>
      </c>
      <c r="G115" s="5">
        <v>1329694014.80197</v>
      </c>
      <c r="I115" s="11">
        <f t="shared" si="3"/>
        <v>14205.298196531101</v>
      </c>
      <c r="J115" s="13">
        <f>(C110+F110)/2</f>
        <v>1187075475.9300001</v>
      </c>
      <c r="K115" s="12">
        <f t="shared" si="5"/>
        <v>11870.7547593</v>
      </c>
    </row>
    <row r="116" spans="1:11" x14ac:dyDescent="0.3">
      <c r="A116" s="3">
        <v>45930</v>
      </c>
      <c r="B116" t="s">
        <v>16</v>
      </c>
      <c r="C116" s="5">
        <v>1524246160.445935</v>
      </c>
      <c r="D116" s="5">
        <v>1361161406.9811721</v>
      </c>
      <c r="E116" s="5">
        <v>1318435463.6381149</v>
      </c>
      <c r="F116" s="5">
        <v>1434033918.625495</v>
      </c>
      <c r="G116" s="5">
        <v>1348294037.631948</v>
      </c>
      <c r="I116" s="11">
        <f t="shared" si="3"/>
        <v>15242.461604459349</v>
      </c>
    </row>
    <row r="117" spans="1:11" x14ac:dyDescent="0.3">
      <c r="A117" s="3">
        <v>45961</v>
      </c>
      <c r="B117" t="s">
        <v>16</v>
      </c>
      <c r="C117" s="5">
        <v>1539408569.5073409</v>
      </c>
      <c r="D117" s="5">
        <v>1379207587.172456</v>
      </c>
      <c r="E117" s="5">
        <v>1572124408.7450049</v>
      </c>
      <c r="G117" s="5">
        <v>1366894060.461925</v>
      </c>
      <c r="I117" s="11">
        <f t="shared" si="3"/>
        <v>15394.085695073409</v>
      </c>
    </row>
    <row r="118" spans="1:11" x14ac:dyDescent="0.3">
      <c r="A118" s="3">
        <v>45991</v>
      </c>
      <c r="B118" t="s">
        <v>16</v>
      </c>
      <c r="C118" s="5">
        <v>1569587812.9737921</v>
      </c>
      <c r="D118" s="5">
        <v>1396671632.5188601</v>
      </c>
      <c r="E118" s="5">
        <v>1521562540.0527511</v>
      </c>
      <c r="G118" s="5">
        <v>1385494083.291903</v>
      </c>
      <c r="I118" s="11">
        <f t="shared" si="3"/>
        <v>15695.878129737921</v>
      </c>
    </row>
    <row r="119" spans="1:11" x14ac:dyDescent="0.3">
      <c r="A119" s="3">
        <v>46022</v>
      </c>
      <c r="B119" t="s">
        <v>16</v>
      </c>
      <c r="F119" s="5">
        <v>1403875876.879519</v>
      </c>
      <c r="I119" s="11">
        <f t="shared" si="3"/>
        <v>0</v>
      </c>
    </row>
    <row r="120" spans="1:11" x14ac:dyDescent="0.3">
      <c r="A120" s="3">
        <v>46112</v>
      </c>
      <c r="B120" t="s">
        <v>16</v>
      </c>
      <c r="F120" s="5">
        <v>1840126241.485532</v>
      </c>
      <c r="I120" s="11">
        <f t="shared" si="3"/>
        <v>0</v>
      </c>
    </row>
    <row r="121" spans="1:11" x14ac:dyDescent="0.3">
      <c r="A121" s="3">
        <v>46203</v>
      </c>
      <c r="B121" t="s">
        <v>16</v>
      </c>
      <c r="F121" s="5">
        <v>1870311277.8957829</v>
      </c>
      <c r="I121" s="11">
        <f t="shared" si="3"/>
        <v>0</v>
      </c>
    </row>
    <row r="122" spans="1:11" x14ac:dyDescent="0.3">
      <c r="A122" s="3">
        <v>45291</v>
      </c>
      <c r="B122" t="s">
        <v>17</v>
      </c>
      <c r="C122" s="5">
        <v>52215075.710000001</v>
      </c>
      <c r="D122" s="5">
        <v>52215075.710000001</v>
      </c>
      <c r="E122" s="5">
        <v>52215075.710000001</v>
      </c>
      <c r="F122" s="5">
        <v>52215075.710000001</v>
      </c>
      <c r="G122" s="5">
        <v>52215075.710000001</v>
      </c>
      <c r="I122" s="11">
        <f t="shared" si="3"/>
        <v>522.15075709999996</v>
      </c>
    </row>
    <row r="123" spans="1:11" x14ac:dyDescent="0.3">
      <c r="A123" s="3">
        <v>45382</v>
      </c>
      <c r="B123" t="s">
        <v>17</v>
      </c>
      <c r="C123" s="5">
        <v>77317697.370000005</v>
      </c>
      <c r="D123" s="5">
        <v>77317697.370000005</v>
      </c>
      <c r="E123" s="5">
        <v>77317697.370000005</v>
      </c>
      <c r="F123" s="5">
        <v>77317697.370000005</v>
      </c>
      <c r="G123" s="5">
        <v>77317697.370000005</v>
      </c>
      <c r="I123" s="11">
        <f t="shared" si="3"/>
        <v>773.17697370000008</v>
      </c>
    </row>
    <row r="124" spans="1:11" x14ac:dyDescent="0.3">
      <c r="A124" s="3">
        <v>45473</v>
      </c>
      <c r="B124" t="s">
        <v>17</v>
      </c>
      <c r="C124" s="5">
        <v>123477831.47</v>
      </c>
      <c r="D124" s="5">
        <v>123477831.47</v>
      </c>
      <c r="E124" s="5">
        <v>123477831.47</v>
      </c>
      <c r="F124" s="5">
        <v>123477831.47</v>
      </c>
      <c r="G124" s="5">
        <v>123477831.47</v>
      </c>
      <c r="I124" s="11">
        <f t="shared" si="3"/>
        <v>1234.7783147</v>
      </c>
    </row>
    <row r="125" spans="1:11" x14ac:dyDescent="0.3">
      <c r="A125" s="3">
        <v>45565</v>
      </c>
      <c r="B125" t="s">
        <v>17</v>
      </c>
      <c r="C125" s="5">
        <v>208525481.06999999</v>
      </c>
      <c r="D125" s="5">
        <v>208525481.06999999</v>
      </c>
      <c r="E125" s="5">
        <v>208525481.06999999</v>
      </c>
      <c r="F125" s="5">
        <v>208525481.06999999</v>
      </c>
      <c r="G125" s="5">
        <v>208525481.06999999</v>
      </c>
      <c r="I125" s="11">
        <f t="shared" si="3"/>
        <v>2085.2548106999998</v>
      </c>
    </row>
    <row r="126" spans="1:11" x14ac:dyDescent="0.3">
      <c r="A126" s="3">
        <v>45657</v>
      </c>
      <c r="B126" t="s">
        <v>17</v>
      </c>
      <c r="C126" s="5">
        <v>149596181.63</v>
      </c>
      <c r="D126" s="5">
        <v>149596181.63</v>
      </c>
      <c r="E126" s="5">
        <v>149596181.63</v>
      </c>
      <c r="F126" s="5">
        <v>149596181.63</v>
      </c>
      <c r="G126" s="5">
        <v>149596181.63</v>
      </c>
      <c r="I126" s="11">
        <f t="shared" si="3"/>
        <v>1495.9618163</v>
      </c>
    </row>
    <row r="127" spans="1:11" x14ac:dyDescent="0.3">
      <c r="A127" s="3">
        <v>45747</v>
      </c>
      <c r="B127" t="s">
        <v>17</v>
      </c>
      <c r="C127" s="5">
        <v>147391786.47999999</v>
      </c>
      <c r="D127" s="5">
        <v>147391786.47999999</v>
      </c>
      <c r="E127" s="5">
        <v>147391786.47999999</v>
      </c>
      <c r="F127" s="5">
        <v>147391786.47999999</v>
      </c>
      <c r="G127" s="5">
        <v>147391786.47999999</v>
      </c>
      <c r="I127" s="11">
        <f t="shared" si="3"/>
        <v>1473.9178648</v>
      </c>
    </row>
    <row r="128" spans="1:11" x14ac:dyDescent="0.3">
      <c r="A128" s="3">
        <v>45838</v>
      </c>
      <c r="B128" t="s">
        <v>17</v>
      </c>
      <c r="C128" s="5">
        <v>180047311.09</v>
      </c>
      <c r="D128" s="5">
        <v>180047311.09</v>
      </c>
      <c r="E128" s="5">
        <v>180047311.09</v>
      </c>
      <c r="F128" s="5">
        <v>180047311.09</v>
      </c>
      <c r="G128" s="5">
        <v>180047311.09</v>
      </c>
      <c r="I128" s="11">
        <f t="shared" si="3"/>
        <v>1800.4731108999999</v>
      </c>
    </row>
    <row r="129" spans="1:11" x14ac:dyDescent="0.3">
      <c r="A129" s="3">
        <v>45930</v>
      </c>
      <c r="B129" t="s">
        <v>88</v>
      </c>
      <c r="C129" s="7">
        <v>170721033.32955971</v>
      </c>
      <c r="D129" s="5">
        <v>118541255.230859</v>
      </c>
      <c r="E129" s="5">
        <v>162233834.95618051</v>
      </c>
      <c r="F129" s="5">
        <v>177739516.51663479</v>
      </c>
      <c r="G129" s="5">
        <v>175595308.70338371</v>
      </c>
      <c r="I129" s="11">
        <f t="shared" si="3"/>
        <v>1707.2103332955971</v>
      </c>
    </row>
    <row r="130" spans="1:11" x14ac:dyDescent="0.3">
      <c r="A130" s="3">
        <v>46022</v>
      </c>
      <c r="B130" t="s">
        <v>17</v>
      </c>
      <c r="C130" s="7">
        <v>165700554.28142759</v>
      </c>
      <c r="D130" s="5">
        <v>120943589.78666089</v>
      </c>
      <c r="E130" s="5">
        <v>132793135.62884679</v>
      </c>
      <c r="F130" s="5">
        <v>170416419.42964739</v>
      </c>
      <c r="G130" s="5">
        <v>176785477.17263061</v>
      </c>
      <c r="I130" s="11">
        <f t="shared" si="3"/>
        <v>1657.0055428142759</v>
      </c>
    </row>
    <row r="131" spans="1:11" x14ac:dyDescent="0.3">
      <c r="A131" s="3">
        <v>46112</v>
      </c>
      <c r="B131" t="s">
        <v>17</v>
      </c>
      <c r="C131" s="7">
        <v>164861790.92642611</v>
      </c>
      <c r="D131" s="5">
        <v>123293699.67820621</v>
      </c>
      <c r="E131" s="5">
        <v>126822463.8648794</v>
      </c>
      <c r="F131" s="5">
        <v>151415986.37548229</v>
      </c>
      <c r="G131" s="5">
        <v>177975645.64187741</v>
      </c>
      <c r="I131" s="11">
        <f t="shared" si="3"/>
        <v>1648.617909264261</v>
      </c>
    </row>
    <row r="132" spans="1:11" x14ac:dyDescent="0.3">
      <c r="A132" s="3">
        <v>46203</v>
      </c>
      <c r="B132" t="s">
        <v>17</v>
      </c>
      <c r="C132" s="7">
        <v>186618726.33389539</v>
      </c>
      <c r="D132" s="5">
        <v>125669921.9018798</v>
      </c>
      <c r="E132" s="5">
        <v>166439439.35412109</v>
      </c>
      <c r="F132" s="5">
        <v>197533684.52788821</v>
      </c>
      <c r="G132" s="5">
        <v>179165814.11112419</v>
      </c>
      <c r="I132" s="11">
        <f t="shared" si="3"/>
        <v>1866.1872633389539</v>
      </c>
    </row>
    <row r="133" spans="1:11" x14ac:dyDescent="0.3">
      <c r="A133" s="3">
        <v>46295</v>
      </c>
      <c r="B133" t="s">
        <v>17</v>
      </c>
      <c r="C133" s="7">
        <v>179089654.37484461</v>
      </c>
      <c r="D133" s="5">
        <v>128072256.4576816</v>
      </c>
      <c r="E133" s="5">
        <v>177182585.23389411</v>
      </c>
      <c r="F133" s="5">
        <v>193648630.8279976</v>
      </c>
      <c r="G133" s="5">
        <v>180355982.58037111</v>
      </c>
      <c r="I133" s="11">
        <f t="shared" si="3"/>
        <v>1790.8965437484462</v>
      </c>
    </row>
    <row r="134" spans="1:11" x14ac:dyDescent="0.3">
      <c r="A134" s="3">
        <v>45291</v>
      </c>
      <c r="B134" t="s">
        <v>18</v>
      </c>
      <c r="C134" s="5">
        <v>104383927.47</v>
      </c>
      <c r="D134" s="5">
        <v>104383927.47</v>
      </c>
      <c r="E134" s="5">
        <v>104383927.47</v>
      </c>
      <c r="F134" s="5">
        <v>104383927.47</v>
      </c>
      <c r="G134" s="5">
        <v>104383927.47</v>
      </c>
      <c r="I134" s="11">
        <f t="shared" si="3"/>
        <v>1043.8392747</v>
      </c>
      <c r="J134" s="13">
        <f>(C129+F129)/2</f>
        <v>174230274.92309725</v>
      </c>
      <c r="K134" s="12">
        <f>J134/100000</f>
        <v>1742.3027492309725</v>
      </c>
    </row>
    <row r="135" spans="1:11" x14ac:dyDescent="0.3">
      <c r="A135" s="3">
        <v>45382</v>
      </c>
      <c r="B135" t="s">
        <v>18</v>
      </c>
      <c r="C135" s="5">
        <v>94227433.180000007</v>
      </c>
      <c r="D135" s="5">
        <v>94227433.180000007</v>
      </c>
      <c r="E135" s="5">
        <v>94227433.180000007</v>
      </c>
      <c r="F135" s="5">
        <v>94227433.180000007</v>
      </c>
      <c r="G135" s="5">
        <v>94227433.180000007</v>
      </c>
      <c r="I135" s="11">
        <f t="shared" si="3"/>
        <v>942.27433180000003</v>
      </c>
      <c r="J135" s="13">
        <f>(C130+F130)/2</f>
        <v>168058486.85553747</v>
      </c>
      <c r="K135" s="12">
        <f t="shared" ref="K135:K139" si="6">J135/100000</f>
        <v>1680.5848685553747</v>
      </c>
    </row>
    <row r="136" spans="1:11" x14ac:dyDescent="0.3">
      <c r="A136" s="3">
        <v>45473</v>
      </c>
      <c r="B136" t="s">
        <v>18</v>
      </c>
      <c r="C136" s="5">
        <v>101980427.37</v>
      </c>
      <c r="D136" s="5">
        <v>101980427.37</v>
      </c>
      <c r="E136" s="5">
        <v>101980427.37</v>
      </c>
      <c r="F136" s="5">
        <v>101980427.37</v>
      </c>
      <c r="G136" s="5">
        <v>101980427.37</v>
      </c>
      <c r="I136" s="11">
        <f t="shared" si="3"/>
        <v>1019.8042737000001</v>
      </c>
      <c r="J136" s="13">
        <f>(C131+F131)/2</f>
        <v>158138888.65095419</v>
      </c>
      <c r="K136" s="12">
        <f t="shared" si="6"/>
        <v>1581.3888865095419</v>
      </c>
    </row>
    <row r="137" spans="1:11" x14ac:dyDescent="0.3">
      <c r="A137" s="3">
        <v>45565</v>
      </c>
      <c r="B137" t="s">
        <v>18</v>
      </c>
      <c r="C137" s="5">
        <v>87279350.260000005</v>
      </c>
      <c r="D137" s="5">
        <v>87279350.260000005</v>
      </c>
      <c r="E137" s="5">
        <v>87279350.260000005</v>
      </c>
      <c r="F137" s="5">
        <v>87279350.260000005</v>
      </c>
      <c r="G137" s="5">
        <v>87279350.260000005</v>
      </c>
      <c r="I137" s="11">
        <f t="shared" si="3"/>
        <v>872.79350260000001</v>
      </c>
      <c r="J137" s="13">
        <f>(C132+F132)/2</f>
        <v>192076205.43089181</v>
      </c>
      <c r="K137" s="12">
        <f t="shared" si="6"/>
        <v>1920.7620543089181</v>
      </c>
    </row>
    <row r="138" spans="1:11" x14ac:dyDescent="0.3">
      <c r="A138" s="3">
        <v>45657</v>
      </c>
      <c r="B138" t="s">
        <v>18</v>
      </c>
      <c r="C138" s="5">
        <v>101707423.25</v>
      </c>
      <c r="D138" s="5">
        <v>101707423.25</v>
      </c>
      <c r="E138" s="5">
        <v>101707423.25</v>
      </c>
      <c r="F138" s="5">
        <v>101707423.25</v>
      </c>
      <c r="G138" s="5">
        <v>101707423.25</v>
      </c>
      <c r="I138" s="11">
        <f t="shared" si="3"/>
        <v>1017.0742325</v>
      </c>
      <c r="J138" s="13">
        <f>(C133+F133)/2</f>
        <v>186369142.60142112</v>
      </c>
      <c r="K138" s="12">
        <f t="shared" si="6"/>
        <v>1863.6914260142112</v>
      </c>
    </row>
    <row r="139" spans="1:11" x14ac:dyDescent="0.3">
      <c r="A139" s="3">
        <v>45747</v>
      </c>
      <c r="B139" t="s">
        <v>18</v>
      </c>
      <c r="C139" s="5">
        <v>101316249.26000001</v>
      </c>
      <c r="D139" s="5">
        <v>101316249.26000001</v>
      </c>
      <c r="E139" s="5">
        <v>101316249.26000001</v>
      </c>
      <c r="F139" s="5">
        <v>101316249.26000001</v>
      </c>
      <c r="G139" s="5">
        <v>101316249.26000001</v>
      </c>
      <c r="I139" s="11">
        <f t="shared" si="3"/>
        <v>1013.1624926000001</v>
      </c>
      <c r="J139" s="13">
        <f>(C134+F134)/2</f>
        <v>104383927.47</v>
      </c>
      <c r="K139" s="12">
        <f t="shared" si="6"/>
        <v>1043.8392747</v>
      </c>
    </row>
    <row r="140" spans="1:11" x14ac:dyDescent="0.3">
      <c r="A140" s="3">
        <v>45838</v>
      </c>
      <c r="B140" t="s">
        <v>18</v>
      </c>
      <c r="C140" s="5">
        <v>110618107.43000001</v>
      </c>
      <c r="D140" s="5">
        <v>110618107.43000001</v>
      </c>
      <c r="E140" s="5">
        <v>110618107.43000001</v>
      </c>
      <c r="F140" s="5">
        <v>110618107.43000001</v>
      </c>
      <c r="G140" s="5">
        <v>110618107.43000001</v>
      </c>
      <c r="I140" s="11">
        <f t="shared" si="3"/>
        <v>1106.1810743000001</v>
      </c>
    </row>
    <row r="141" spans="1:11" x14ac:dyDescent="0.3">
      <c r="A141" s="3">
        <v>45930</v>
      </c>
      <c r="B141" t="s">
        <v>59</v>
      </c>
      <c r="C141" s="7">
        <v>104487056.9732531</v>
      </c>
      <c r="D141" s="5">
        <v>107720646.99791341</v>
      </c>
      <c r="E141" s="5">
        <v>95243622.198834881</v>
      </c>
      <c r="F141" s="5">
        <v>96747313.308741897</v>
      </c>
      <c r="G141" s="5">
        <v>103170434.9005757</v>
      </c>
      <c r="I141" s="11">
        <f t="shared" si="3"/>
        <v>1044.8705697325311</v>
      </c>
    </row>
    <row r="142" spans="1:11" x14ac:dyDescent="0.3">
      <c r="A142" s="3">
        <v>46022</v>
      </c>
      <c r="B142" t="s">
        <v>18</v>
      </c>
      <c r="C142" s="7">
        <v>116148061.6547375</v>
      </c>
      <c r="D142" s="5">
        <v>109329435.2404363</v>
      </c>
      <c r="E142" s="5">
        <v>102530000.07611351</v>
      </c>
      <c r="F142" s="5">
        <v>107568601.7409341</v>
      </c>
      <c r="G142" s="5">
        <v>121602938.8162224</v>
      </c>
      <c r="I142" s="11">
        <f t="shared" si="3"/>
        <v>1161.4806165473751</v>
      </c>
    </row>
    <row r="143" spans="1:11" x14ac:dyDescent="0.3">
      <c r="A143" s="3">
        <v>46112</v>
      </c>
      <c r="B143" t="s">
        <v>18</v>
      </c>
      <c r="C143" s="7">
        <v>100644508.1737504</v>
      </c>
      <c r="D143" s="5">
        <v>110903249.82551301</v>
      </c>
      <c r="E143" s="5">
        <v>92706445.235907361</v>
      </c>
      <c r="F143" s="5">
        <v>106568235.153025</v>
      </c>
      <c r="G143" s="5">
        <v>98978785.1191535</v>
      </c>
      <c r="I143" s="11">
        <f t="shared" si="3"/>
        <v>1006.445081737504</v>
      </c>
    </row>
    <row r="144" spans="1:11" x14ac:dyDescent="0.3">
      <c r="A144" s="3">
        <v>46203</v>
      </c>
      <c r="B144" t="s">
        <v>18</v>
      </c>
      <c r="C144" s="7">
        <v>112803174.4993179</v>
      </c>
      <c r="D144" s="5">
        <v>112494551.2393129</v>
      </c>
      <c r="E144" s="5">
        <v>99665964.742645115</v>
      </c>
      <c r="F144" s="5">
        <v>115245314.1383044</v>
      </c>
      <c r="G144" s="5">
        <v>114351128.7346677</v>
      </c>
      <c r="I144" s="11">
        <f t="shared" si="3"/>
        <v>1128.031744993179</v>
      </c>
    </row>
    <row r="145" spans="1:11" x14ac:dyDescent="0.3">
      <c r="A145" s="3">
        <v>46295</v>
      </c>
      <c r="B145" t="s">
        <v>59</v>
      </c>
      <c r="C145" s="7">
        <v>106658644.2602773</v>
      </c>
      <c r="D145" s="5">
        <v>114103339.4818358</v>
      </c>
      <c r="E145" s="5">
        <v>88049614.819325686</v>
      </c>
      <c r="G145" s="5">
        <v>106215959.27972239</v>
      </c>
      <c r="I145" s="11">
        <f t="shared" si="3"/>
        <v>1066.5864426027731</v>
      </c>
    </row>
    <row r="146" spans="1:11" x14ac:dyDescent="0.3">
      <c r="A146" s="3">
        <v>45291</v>
      </c>
      <c r="B146" t="s">
        <v>19</v>
      </c>
      <c r="C146" s="5">
        <v>70278045.730000004</v>
      </c>
      <c r="D146" s="5">
        <v>70278045.730000004</v>
      </c>
      <c r="E146" s="5">
        <v>70278045.730000004</v>
      </c>
      <c r="F146" s="5">
        <v>70278045.730000004</v>
      </c>
      <c r="G146" s="5">
        <v>70278045.730000004</v>
      </c>
      <c r="I146" s="11">
        <f t="shared" si="3"/>
        <v>702.78045730000008</v>
      </c>
      <c r="J146" s="13">
        <f>(C141+F141)/2</f>
        <v>100617185.1409975</v>
      </c>
      <c r="K146" s="12">
        <f>J146/100000</f>
        <v>1006.171851409975</v>
      </c>
    </row>
    <row r="147" spans="1:11" x14ac:dyDescent="0.3">
      <c r="A147" s="3">
        <v>45382</v>
      </c>
      <c r="B147" t="s">
        <v>19</v>
      </c>
      <c r="C147" s="5">
        <v>58210845.590000004</v>
      </c>
      <c r="D147" s="5">
        <v>58210845.590000004</v>
      </c>
      <c r="E147" s="5">
        <v>58210845.590000004</v>
      </c>
      <c r="F147" s="5">
        <v>58210845.590000004</v>
      </c>
      <c r="G147" s="5">
        <v>58210845.590000004</v>
      </c>
      <c r="I147" s="11">
        <f t="shared" si="3"/>
        <v>582.10845590000008</v>
      </c>
      <c r="J147" s="13">
        <f>(C142+F142)/2</f>
        <v>111858331.6978358</v>
      </c>
      <c r="K147" s="12">
        <f t="shared" ref="K147:K151" si="7">J147/100000</f>
        <v>1118.583316978358</v>
      </c>
    </row>
    <row r="148" spans="1:11" x14ac:dyDescent="0.3">
      <c r="A148" s="3">
        <v>45473</v>
      </c>
      <c r="B148" t="s">
        <v>19</v>
      </c>
      <c r="C148" s="5">
        <v>76048823.650000006</v>
      </c>
      <c r="D148" s="5">
        <v>76048823.650000006</v>
      </c>
      <c r="E148" s="5">
        <v>76048823.650000006</v>
      </c>
      <c r="F148" s="5">
        <v>76048823.650000006</v>
      </c>
      <c r="G148" s="5">
        <v>76048823.650000006</v>
      </c>
      <c r="I148" s="11">
        <f t="shared" si="3"/>
        <v>760.48823650000008</v>
      </c>
      <c r="J148" s="13">
        <f>(C143+F143)/2</f>
        <v>103606371.6633877</v>
      </c>
      <c r="K148" s="12">
        <f t="shared" si="7"/>
        <v>1036.063716633877</v>
      </c>
    </row>
    <row r="149" spans="1:11" x14ac:dyDescent="0.3">
      <c r="A149" s="3">
        <v>45565</v>
      </c>
      <c r="B149" t="s">
        <v>19</v>
      </c>
      <c r="C149" s="5">
        <v>110675924.16</v>
      </c>
      <c r="D149" s="5">
        <v>110675924.16</v>
      </c>
      <c r="E149" s="5">
        <v>110675924.16</v>
      </c>
      <c r="F149" s="5">
        <v>110675924.16</v>
      </c>
      <c r="G149" s="5">
        <v>110675924.16</v>
      </c>
      <c r="I149" s="11">
        <f t="shared" si="3"/>
        <v>1106.7592416</v>
      </c>
      <c r="J149" s="13">
        <f>(C144+F144)/2</f>
        <v>114024244.31881115</v>
      </c>
      <c r="K149" s="12">
        <f t="shared" si="7"/>
        <v>1140.2424431881116</v>
      </c>
    </row>
    <row r="150" spans="1:11" x14ac:dyDescent="0.3">
      <c r="A150" s="3">
        <v>45657</v>
      </c>
      <c r="B150" t="s">
        <v>19</v>
      </c>
      <c r="C150" s="5">
        <v>103117614.56</v>
      </c>
      <c r="D150" s="5">
        <v>103117614.56</v>
      </c>
      <c r="E150" s="5">
        <v>103117614.56</v>
      </c>
      <c r="F150" s="5">
        <v>103117614.56</v>
      </c>
      <c r="G150" s="5">
        <v>103117614.56</v>
      </c>
      <c r="I150" s="11">
        <f t="shared" si="3"/>
        <v>1031.1761455999999</v>
      </c>
      <c r="J150" s="13">
        <f>(C145+F145)/2</f>
        <v>53329322.130138651</v>
      </c>
      <c r="K150" s="12">
        <f t="shared" si="7"/>
        <v>533.29322130138655</v>
      </c>
    </row>
    <row r="151" spans="1:11" x14ac:dyDescent="0.3">
      <c r="A151" s="3">
        <v>45747</v>
      </c>
      <c r="B151" t="s">
        <v>19</v>
      </c>
      <c r="C151" s="5">
        <v>83031456.230000004</v>
      </c>
      <c r="D151" s="5">
        <v>83031456.230000004</v>
      </c>
      <c r="E151" s="5">
        <v>83031456.230000004</v>
      </c>
      <c r="F151" s="5">
        <v>83031456.230000004</v>
      </c>
      <c r="G151" s="5">
        <v>83031456.230000004</v>
      </c>
      <c r="I151" s="11">
        <f t="shared" si="3"/>
        <v>830.31456230000003</v>
      </c>
      <c r="J151" s="13">
        <f>(C146+F146)/2</f>
        <v>70278045.730000004</v>
      </c>
      <c r="K151" s="12">
        <f t="shared" si="7"/>
        <v>702.78045730000008</v>
      </c>
    </row>
    <row r="152" spans="1:11" x14ac:dyDescent="0.3">
      <c r="A152" s="3">
        <v>45838</v>
      </c>
      <c r="B152" t="s">
        <v>19</v>
      </c>
      <c r="C152" s="5">
        <v>117613948.45</v>
      </c>
      <c r="D152" s="5">
        <v>117613948.45</v>
      </c>
      <c r="E152" s="5">
        <v>117613948.45</v>
      </c>
      <c r="F152" s="5">
        <v>117613948.45</v>
      </c>
      <c r="G152" s="5">
        <v>117613948.45</v>
      </c>
      <c r="I152" s="11">
        <f t="shared" si="3"/>
        <v>1176.1394845</v>
      </c>
    </row>
    <row r="153" spans="1:11" x14ac:dyDescent="0.3">
      <c r="A153" s="3">
        <v>45930</v>
      </c>
      <c r="B153" t="s">
        <v>93</v>
      </c>
      <c r="C153" s="7">
        <v>125846212.41632649</v>
      </c>
      <c r="D153" s="5">
        <v>95518027.534378439</v>
      </c>
      <c r="E153" s="5">
        <v>140224581.56012121</v>
      </c>
      <c r="F153" s="5">
        <v>155527093.7472311</v>
      </c>
      <c r="G153" s="5">
        <v>122041602.7260717</v>
      </c>
      <c r="I153" s="11">
        <f t="shared" si="3"/>
        <v>1258.4621241632649</v>
      </c>
    </row>
    <row r="154" spans="1:11" x14ac:dyDescent="0.3">
      <c r="A154" s="3">
        <v>46022</v>
      </c>
      <c r="B154" t="s">
        <v>19</v>
      </c>
      <c r="C154" s="7">
        <v>116491847.51306009</v>
      </c>
      <c r="D154" s="5">
        <v>97147781.823853955</v>
      </c>
      <c r="E154" s="5">
        <v>139313198.55860469</v>
      </c>
      <c r="F154" s="5">
        <v>135550238.33982071</v>
      </c>
      <c r="G154" s="5">
        <v>115921335.1232858</v>
      </c>
      <c r="I154" s="11">
        <f t="shared" si="3"/>
        <v>1164.9184751306009</v>
      </c>
    </row>
    <row r="155" spans="1:11" x14ac:dyDescent="0.3">
      <c r="A155" s="3">
        <v>46112</v>
      </c>
      <c r="B155" t="s">
        <v>19</v>
      </c>
      <c r="C155" s="7">
        <v>101036696.7592134</v>
      </c>
      <c r="D155" s="5">
        <v>98742106.672253922</v>
      </c>
      <c r="E155" s="5">
        <v>124331910.7504745</v>
      </c>
      <c r="F155" s="5">
        <v>61611325.818909474</v>
      </c>
      <c r="G155" s="5">
        <v>100355551.3699346</v>
      </c>
      <c r="I155" s="11">
        <f t="shared" si="3"/>
        <v>1010.3669675921341</v>
      </c>
    </row>
    <row r="156" spans="1:11" x14ac:dyDescent="0.3">
      <c r="A156" s="3">
        <v>46203</v>
      </c>
      <c r="B156" t="s">
        <v>19</v>
      </c>
      <c r="C156" s="7">
        <v>119318895.91652261</v>
      </c>
      <c r="D156" s="5">
        <v>100354146.2411917</v>
      </c>
      <c r="E156" s="5">
        <v>145833929.8624675</v>
      </c>
      <c r="F156" s="5">
        <v>122784333.5293432</v>
      </c>
      <c r="G156" s="5">
        <v>113881803.08801851</v>
      </c>
      <c r="I156" s="11">
        <f t="shared" si="3"/>
        <v>1193.1889591652262</v>
      </c>
    </row>
    <row r="157" spans="1:11" x14ac:dyDescent="0.3">
      <c r="A157" s="3">
        <v>46295</v>
      </c>
      <c r="B157" t="s">
        <v>19</v>
      </c>
      <c r="C157" s="7">
        <v>134781395.80962941</v>
      </c>
      <c r="D157" s="5">
        <v>101983900.5306672</v>
      </c>
      <c r="E157" s="5">
        <v>173464907.527973</v>
      </c>
      <c r="F157" s="5">
        <v>197433496.79411441</v>
      </c>
      <c r="G157" s="5">
        <v>125549255.38717189</v>
      </c>
      <c r="I157" s="11">
        <f t="shared" si="3"/>
        <v>1347.8139580962941</v>
      </c>
    </row>
    <row r="158" spans="1:11" x14ac:dyDescent="0.3">
      <c r="A158" s="3">
        <v>45291</v>
      </c>
      <c r="B158" t="s">
        <v>20</v>
      </c>
      <c r="C158" s="5">
        <v>27864690.850000001</v>
      </c>
      <c r="D158" s="5">
        <v>27864690.850000001</v>
      </c>
      <c r="E158" s="5">
        <v>27864690.850000001</v>
      </c>
      <c r="F158" s="5">
        <v>27864690.850000001</v>
      </c>
      <c r="G158" s="5">
        <v>27864690.850000001</v>
      </c>
      <c r="I158" s="11">
        <f t="shared" si="3"/>
        <v>278.6469085</v>
      </c>
      <c r="J158" s="13">
        <f>(C153+F153)/2</f>
        <v>140686653.08177879</v>
      </c>
      <c r="K158" s="12">
        <f>J158/100000</f>
        <v>1406.8665308177879</v>
      </c>
    </row>
    <row r="159" spans="1:11" x14ac:dyDescent="0.3">
      <c r="A159" s="3">
        <v>45382</v>
      </c>
      <c r="B159" t="s">
        <v>20</v>
      </c>
      <c r="C159" s="5">
        <v>16995635.280000001</v>
      </c>
      <c r="D159" s="5">
        <v>16995635.280000001</v>
      </c>
      <c r="E159" s="5">
        <v>16995635.280000001</v>
      </c>
      <c r="F159" s="5">
        <v>16995635.280000001</v>
      </c>
      <c r="G159" s="5">
        <v>16995635.280000001</v>
      </c>
      <c r="I159" s="11">
        <f t="shared" si="3"/>
        <v>169.95635280000002</v>
      </c>
      <c r="J159" s="13">
        <f>(C154+F154)/2</f>
        <v>126021042.9264404</v>
      </c>
      <c r="K159" s="12">
        <f t="shared" ref="K159:K163" si="8">J159/100000</f>
        <v>1260.210429264404</v>
      </c>
    </row>
    <row r="160" spans="1:11" x14ac:dyDescent="0.3">
      <c r="A160" s="3">
        <v>45473</v>
      </c>
      <c r="B160" t="s">
        <v>20</v>
      </c>
      <c r="C160" s="5">
        <v>13043647.710000001</v>
      </c>
      <c r="D160" s="5">
        <v>13043647.710000001</v>
      </c>
      <c r="E160" s="5">
        <v>13043647.710000001</v>
      </c>
      <c r="F160" s="5">
        <v>13043647.710000001</v>
      </c>
      <c r="G160" s="5">
        <v>13043647.710000001</v>
      </c>
      <c r="I160" s="11">
        <f t="shared" si="3"/>
        <v>130.43647710000002</v>
      </c>
      <c r="J160" s="13">
        <f>(C155+F155)/2</f>
        <v>81324011.289061442</v>
      </c>
      <c r="K160" s="12">
        <f t="shared" si="8"/>
        <v>813.24011289061445</v>
      </c>
    </row>
    <row r="161" spans="1:11" x14ac:dyDescent="0.3">
      <c r="A161" s="3">
        <v>45565</v>
      </c>
      <c r="B161" t="s">
        <v>20</v>
      </c>
      <c r="C161" s="5">
        <v>12655492.49</v>
      </c>
      <c r="D161" s="5">
        <v>12655492.49</v>
      </c>
      <c r="E161" s="5">
        <v>12655492.49</v>
      </c>
      <c r="F161" s="5">
        <v>12655492.49</v>
      </c>
      <c r="G161" s="5">
        <v>12655492.49</v>
      </c>
      <c r="I161" s="11">
        <f t="shared" si="3"/>
        <v>126.5549249</v>
      </c>
      <c r="J161" s="13">
        <f>(C156+F156)/2</f>
        <v>121051614.7229329</v>
      </c>
      <c r="K161" s="12">
        <f t="shared" si="8"/>
        <v>1210.5161472293291</v>
      </c>
    </row>
    <row r="162" spans="1:11" x14ac:dyDescent="0.3">
      <c r="A162" s="3">
        <v>45657</v>
      </c>
      <c r="B162" t="s">
        <v>20</v>
      </c>
      <c r="C162" s="5">
        <v>34367405.93</v>
      </c>
      <c r="D162" s="5">
        <v>34367405.93</v>
      </c>
      <c r="E162" s="5">
        <v>34367405.93</v>
      </c>
      <c r="F162" s="5">
        <v>34367405.93</v>
      </c>
      <c r="G162" s="5">
        <v>34367405.93</v>
      </c>
      <c r="I162" s="11">
        <f t="shared" ref="I162:I225" si="9">C162/100000</f>
        <v>343.67405930000001</v>
      </c>
      <c r="J162" s="13">
        <f>(C157+F157)/2</f>
        <v>166107446.3018719</v>
      </c>
      <c r="K162" s="12">
        <f t="shared" si="8"/>
        <v>1661.0744630187189</v>
      </c>
    </row>
    <row r="163" spans="1:11" x14ac:dyDescent="0.3">
      <c r="A163" s="3">
        <v>45747</v>
      </c>
      <c r="B163" t="s">
        <v>20</v>
      </c>
      <c r="C163" s="5">
        <v>17454931.370000001</v>
      </c>
      <c r="D163" s="5">
        <v>17454931.370000001</v>
      </c>
      <c r="E163" s="5">
        <v>17454931.370000001</v>
      </c>
      <c r="F163" s="5">
        <v>17454931.370000001</v>
      </c>
      <c r="G163" s="5">
        <v>17454931.370000001</v>
      </c>
      <c r="I163" s="11">
        <f t="shared" si="9"/>
        <v>174.5493137</v>
      </c>
      <c r="J163" s="13"/>
      <c r="K163" s="12">
        <f t="shared" si="8"/>
        <v>0</v>
      </c>
    </row>
    <row r="164" spans="1:11" x14ac:dyDescent="0.3">
      <c r="A164" s="3">
        <v>45838</v>
      </c>
      <c r="B164" t="s">
        <v>20</v>
      </c>
      <c r="C164" s="5">
        <v>55831806.380000003</v>
      </c>
      <c r="D164" s="5">
        <v>55831806.380000003</v>
      </c>
      <c r="E164" s="5">
        <v>55831806.380000003</v>
      </c>
      <c r="F164" s="5">
        <v>55831806.380000003</v>
      </c>
      <c r="G164" s="5">
        <v>55831806.380000003</v>
      </c>
      <c r="I164" s="11">
        <f t="shared" si="9"/>
        <v>558.3180638</v>
      </c>
    </row>
    <row r="165" spans="1:11" x14ac:dyDescent="0.3">
      <c r="A165" s="3">
        <v>45930</v>
      </c>
      <c r="B165" t="s">
        <v>20</v>
      </c>
      <c r="C165" s="8">
        <v>30733585.948767029</v>
      </c>
      <c r="D165" s="5">
        <v>22354619.028898921</v>
      </c>
      <c r="E165" s="6">
        <v>47499381.038613036</v>
      </c>
      <c r="F165" s="5">
        <v>47435523.666239373</v>
      </c>
      <c r="G165" s="5">
        <v>29395572.16234453</v>
      </c>
      <c r="I165" s="11">
        <f t="shared" si="9"/>
        <v>307.33585948767029</v>
      </c>
    </row>
    <row r="166" spans="1:11" x14ac:dyDescent="0.3">
      <c r="A166" s="3">
        <v>46022</v>
      </c>
      <c r="B166" t="s">
        <v>20</v>
      </c>
      <c r="C166" s="8">
        <v>44331923.643010117</v>
      </c>
      <c r="D166" s="5">
        <v>22424619.85337773</v>
      </c>
      <c r="E166" s="6">
        <v>79389683.760549501</v>
      </c>
      <c r="F166" s="5">
        <v>79218386.187401846</v>
      </c>
      <c r="G166" s="5">
        <v>29429649.55559912</v>
      </c>
      <c r="I166" s="11">
        <f t="shared" si="9"/>
        <v>443.31923643010117</v>
      </c>
    </row>
    <row r="167" spans="1:11" x14ac:dyDescent="0.3">
      <c r="A167" s="3">
        <v>46112</v>
      </c>
      <c r="B167" t="s">
        <v>20</v>
      </c>
      <c r="C167" s="8">
        <v>32617178.483706061</v>
      </c>
      <c r="D167" s="5">
        <v>22493098.92080266</v>
      </c>
      <c r="E167" s="6">
        <v>67627301.910156325</v>
      </c>
      <c r="F167" s="5">
        <v>67043142.695905529</v>
      </c>
      <c r="G167" s="5">
        <v>29463726.94885372</v>
      </c>
      <c r="I167" s="11">
        <f t="shared" si="9"/>
        <v>326.17178483706061</v>
      </c>
    </row>
    <row r="168" spans="1:11" x14ac:dyDescent="0.3">
      <c r="A168" s="3">
        <v>46203</v>
      </c>
      <c r="B168" t="s">
        <v>20</v>
      </c>
      <c r="C168" s="8">
        <v>39413756.964236692</v>
      </c>
      <c r="D168" s="5">
        <v>22562338.866754521</v>
      </c>
      <c r="E168" s="6">
        <v>84449835.523592189</v>
      </c>
      <c r="F168" s="5">
        <v>84091035.372500196</v>
      </c>
      <c r="G168" s="5">
        <v>29497804.34210832</v>
      </c>
      <c r="I168" s="11">
        <f t="shared" si="9"/>
        <v>394.13756964236694</v>
      </c>
    </row>
    <row r="169" spans="1:11" x14ac:dyDescent="0.3">
      <c r="A169" s="3">
        <v>46295</v>
      </c>
      <c r="B169" t="s">
        <v>20</v>
      </c>
      <c r="C169" s="8">
        <v>32268590.651724961</v>
      </c>
      <c r="D169" s="5">
        <v>22632339.691233329</v>
      </c>
      <c r="E169" s="6">
        <v>80186294.225967363</v>
      </c>
      <c r="F169" s="5">
        <v>79818125.638134167</v>
      </c>
      <c r="G169" s="5">
        <v>29531881.735362921</v>
      </c>
      <c r="I169" s="11">
        <f t="shared" si="9"/>
        <v>322.68590651724963</v>
      </c>
    </row>
    <row r="170" spans="1:11" x14ac:dyDescent="0.3">
      <c r="A170" s="3">
        <v>45291</v>
      </c>
      <c r="B170" t="s">
        <v>21</v>
      </c>
      <c r="C170" s="5">
        <v>45469063.390000001</v>
      </c>
      <c r="D170" s="5">
        <v>45469063.390000001</v>
      </c>
      <c r="E170" s="5">
        <v>45469063.390000001</v>
      </c>
      <c r="F170" s="5">
        <v>45469063.390000001</v>
      </c>
      <c r="G170" s="5">
        <v>45469063.390000001</v>
      </c>
      <c r="I170" s="11">
        <f t="shared" si="9"/>
        <v>454.69063390000002</v>
      </c>
    </row>
    <row r="171" spans="1:11" x14ac:dyDescent="0.3">
      <c r="A171" s="3">
        <v>45382</v>
      </c>
      <c r="B171" t="s">
        <v>21</v>
      </c>
      <c r="C171" s="5">
        <v>25664386.43</v>
      </c>
      <c r="D171" s="5">
        <v>25664386.43</v>
      </c>
      <c r="E171" s="5">
        <v>25664386.43</v>
      </c>
      <c r="F171" s="5">
        <v>25664386.43</v>
      </c>
      <c r="G171" s="5">
        <v>25664386.43</v>
      </c>
      <c r="I171" s="11">
        <f t="shared" si="9"/>
        <v>256.64386430000002</v>
      </c>
    </row>
    <row r="172" spans="1:11" x14ac:dyDescent="0.3">
      <c r="A172" s="3">
        <v>45473</v>
      </c>
      <c r="B172" t="s">
        <v>21</v>
      </c>
      <c r="C172" s="5">
        <v>44696800.460000001</v>
      </c>
      <c r="D172" s="5">
        <v>44696800.460000001</v>
      </c>
      <c r="E172" s="5">
        <v>44696800.460000001</v>
      </c>
      <c r="F172" s="5">
        <v>44696800.460000001</v>
      </c>
      <c r="G172" s="5">
        <v>44696800.460000001</v>
      </c>
      <c r="I172" s="11">
        <f t="shared" si="9"/>
        <v>446.96800460000003</v>
      </c>
    </row>
    <row r="173" spans="1:11" x14ac:dyDescent="0.3">
      <c r="A173" s="3">
        <v>45565</v>
      </c>
      <c r="B173" t="s">
        <v>21</v>
      </c>
      <c r="C173" s="5">
        <v>41374479.729999997</v>
      </c>
      <c r="D173" s="5">
        <v>41374479.729999997</v>
      </c>
      <c r="E173" s="5">
        <v>41374479.729999997</v>
      </c>
      <c r="F173" s="5">
        <v>41374479.729999997</v>
      </c>
      <c r="G173" s="5">
        <v>41374479.729999997</v>
      </c>
      <c r="I173" s="11">
        <f t="shared" si="9"/>
        <v>413.74479729999996</v>
      </c>
    </row>
    <row r="174" spans="1:11" x14ac:dyDescent="0.3">
      <c r="A174" s="3">
        <v>45657</v>
      </c>
      <c r="B174" t="s">
        <v>21</v>
      </c>
      <c r="C174" s="5">
        <v>63324182.799999997</v>
      </c>
      <c r="D174" s="5">
        <v>63324182.799999997</v>
      </c>
      <c r="E174" s="5">
        <v>63324182.799999997</v>
      </c>
      <c r="F174" s="5">
        <v>63324182.799999997</v>
      </c>
      <c r="G174" s="5">
        <v>63324182.799999997</v>
      </c>
      <c r="I174" s="11">
        <f t="shared" si="9"/>
        <v>633.24182799999994</v>
      </c>
    </row>
    <row r="175" spans="1:11" x14ac:dyDescent="0.3">
      <c r="A175" s="3">
        <v>45747</v>
      </c>
      <c r="B175" t="s">
        <v>21</v>
      </c>
      <c r="C175" s="5">
        <v>50909652.659999996</v>
      </c>
      <c r="D175" s="5">
        <v>50909652.659999996</v>
      </c>
      <c r="E175" s="5">
        <v>50909652.659999996</v>
      </c>
      <c r="F175" s="5">
        <v>50909652.659999996</v>
      </c>
      <c r="G175" s="5">
        <v>50909652.659999996</v>
      </c>
      <c r="I175" s="11">
        <f t="shared" si="9"/>
        <v>509.09652659999995</v>
      </c>
    </row>
    <row r="176" spans="1:11" x14ac:dyDescent="0.3">
      <c r="A176" s="3">
        <v>45838</v>
      </c>
      <c r="B176" t="s">
        <v>21</v>
      </c>
      <c r="C176" s="5">
        <v>52309189.060000002</v>
      </c>
      <c r="D176" s="5">
        <v>52309189.060000002</v>
      </c>
      <c r="E176" s="5">
        <v>52309189.060000002</v>
      </c>
      <c r="F176" s="5">
        <v>52309189.060000002</v>
      </c>
      <c r="G176" s="5">
        <v>52309189.060000002</v>
      </c>
      <c r="I176" s="11">
        <f t="shared" si="9"/>
        <v>523.09189060000006</v>
      </c>
    </row>
    <row r="177" spans="1:11" x14ac:dyDescent="0.3">
      <c r="A177" s="3">
        <v>45930</v>
      </c>
      <c r="B177" t="s">
        <v>96</v>
      </c>
      <c r="C177" s="7">
        <v>53790768.921710581</v>
      </c>
      <c r="D177" s="5">
        <v>46047845.689584792</v>
      </c>
      <c r="E177" s="5">
        <v>51415683.611063853</v>
      </c>
      <c r="F177" s="5">
        <v>50725923.523870237</v>
      </c>
      <c r="G177" s="5">
        <v>52857484.247772112</v>
      </c>
      <c r="I177" s="11">
        <f t="shared" si="9"/>
        <v>537.90768921710583</v>
      </c>
    </row>
    <row r="178" spans="1:11" x14ac:dyDescent="0.3">
      <c r="A178" s="3">
        <v>46022</v>
      </c>
      <c r="B178" t="s">
        <v>21</v>
      </c>
      <c r="C178" s="7">
        <v>68231179.476398751</v>
      </c>
      <c r="D178" s="5">
        <v>47229366.305642173</v>
      </c>
      <c r="E178" s="5">
        <v>68500039.491469041</v>
      </c>
      <c r="F178" s="5">
        <v>83408619.950723037</v>
      </c>
      <c r="G178" s="5">
        <v>89237923.062303528</v>
      </c>
      <c r="I178" s="11">
        <f t="shared" si="9"/>
        <v>682.31179476398756</v>
      </c>
    </row>
    <row r="179" spans="1:11" x14ac:dyDescent="0.3">
      <c r="A179" s="3">
        <v>46112</v>
      </c>
      <c r="B179" t="s">
        <v>21</v>
      </c>
      <c r="C179" s="7">
        <v>53955567.359032981</v>
      </c>
      <c r="D179" s="5">
        <v>48385201.690915681</v>
      </c>
      <c r="E179" s="5">
        <v>52395003.544271193</v>
      </c>
      <c r="F179" s="5">
        <v>60395859.011614203</v>
      </c>
      <c r="G179" s="5">
        <v>44070366.006244317</v>
      </c>
      <c r="I179" s="11">
        <f t="shared" si="9"/>
        <v>539.55567359032977</v>
      </c>
    </row>
    <row r="180" spans="1:11" x14ac:dyDescent="0.3">
      <c r="A180" s="3">
        <v>46203</v>
      </c>
      <c r="B180" t="s">
        <v>21</v>
      </c>
      <c r="C180" s="7">
        <v>60543913.205299422</v>
      </c>
      <c r="D180" s="5">
        <v>49553879.69158113</v>
      </c>
      <c r="E180" s="5">
        <v>59365952.527113907</v>
      </c>
      <c r="F180" s="5">
        <v>57541803.816645242</v>
      </c>
      <c r="G180" s="5">
        <v>55261105.730832674</v>
      </c>
      <c r="I180" s="11">
        <f t="shared" si="9"/>
        <v>605.43913205299418</v>
      </c>
    </row>
    <row r="181" spans="1:11" x14ac:dyDescent="0.3">
      <c r="A181" s="3">
        <v>46295</v>
      </c>
      <c r="B181" t="s">
        <v>21</v>
      </c>
      <c r="C181" s="7">
        <v>62870380.960193641</v>
      </c>
      <c r="D181" s="5">
        <v>50735400.307638504</v>
      </c>
      <c r="E181" s="5">
        <v>59150859.126305617</v>
      </c>
      <c r="G181" s="5">
        <v>55032713.897575073</v>
      </c>
      <c r="I181" s="11">
        <f t="shared" si="9"/>
        <v>628.70380960193643</v>
      </c>
    </row>
    <row r="182" spans="1:11" x14ac:dyDescent="0.3">
      <c r="A182" s="3">
        <v>45291</v>
      </c>
      <c r="B182" t="s">
        <v>22</v>
      </c>
      <c r="C182" s="5">
        <v>2293450169.9200001</v>
      </c>
      <c r="D182" s="5">
        <v>2293450169.9200001</v>
      </c>
      <c r="E182" s="5">
        <v>2293450169.9200001</v>
      </c>
      <c r="F182" s="5">
        <v>2293450169.9200001</v>
      </c>
      <c r="G182" s="5">
        <v>2293450169.9200001</v>
      </c>
      <c r="I182" s="11">
        <f t="shared" si="9"/>
        <v>22934.501699200002</v>
      </c>
      <c r="J182" s="13">
        <f>(C177+F177)/2</f>
        <v>52258346.222790405</v>
      </c>
      <c r="K182" s="12">
        <f>J182/100000</f>
        <v>522.58346222790408</v>
      </c>
    </row>
    <row r="183" spans="1:11" x14ac:dyDescent="0.3">
      <c r="A183" s="3">
        <v>45382</v>
      </c>
      <c r="B183" t="s">
        <v>22</v>
      </c>
      <c r="C183" s="5">
        <v>2613926391.1100001</v>
      </c>
      <c r="D183" s="5">
        <v>2613926391.1100001</v>
      </c>
      <c r="E183" s="5">
        <v>2613926391.1100001</v>
      </c>
      <c r="F183" s="5">
        <v>2613926391.1100001</v>
      </c>
      <c r="G183" s="5">
        <v>2613926391.1100001</v>
      </c>
      <c r="I183" s="11">
        <f t="shared" si="9"/>
        <v>26139.263911100003</v>
      </c>
      <c r="J183" s="13">
        <f>(C178+F178)/2</f>
        <v>75819899.713560894</v>
      </c>
      <c r="K183" s="12">
        <f t="shared" ref="K183:K186" si="10">J183/100000</f>
        <v>758.19899713560892</v>
      </c>
    </row>
    <row r="184" spans="1:11" x14ac:dyDescent="0.3">
      <c r="A184" s="3">
        <v>45473</v>
      </c>
      <c r="B184" t="s">
        <v>22</v>
      </c>
      <c r="C184" s="5">
        <v>2572578369.96</v>
      </c>
      <c r="D184" s="5">
        <v>2572578369.96</v>
      </c>
      <c r="E184" s="5">
        <v>2572578369.96</v>
      </c>
      <c r="F184" s="5">
        <v>2572578369.96</v>
      </c>
      <c r="G184" s="5">
        <v>2572578369.96</v>
      </c>
      <c r="I184" s="11">
        <f t="shared" si="9"/>
        <v>25725.783699600001</v>
      </c>
      <c r="J184" s="13">
        <f>(C179+F179)/2</f>
        <v>57175713.185323596</v>
      </c>
      <c r="K184" s="12">
        <f t="shared" si="10"/>
        <v>571.75713185323593</v>
      </c>
    </row>
    <row r="185" spans="1:11" x14ac:dyDescent="0.3">
      <c r="A185" s="3">
        <v>45565</v>
      </c>
      <c r="B185" t="s">
        <v>22</v>
      </c>
      <c r="C185" s="5">
        <v>2615317199.77</v>
      </c>
      <c r="D185" s="5">
        <v>2615317199.77</v>
      </c>
      <c r="E185" s="5">
        <v>2615317199.77</v>
      </c>
      <c r="F185" s="5">
        <v>2615317199.77</v>
      </c>
      <c r="G185" s="5">
        <v>2615317199.77</v>
      </c>
      <c r="I185" s="11">
        <f t="shared" si="9"/>
        <v>26153.171997699999</v>
      </c>
      <c r="J185" s="13">
        <f>(C180+F180)/2</f>
        <v>59042858.510972336</v>
      </c>
      <c r="K185" s="12">
        <f t="shared" si="10"/>
        <v>590.42858510972337</v>
      </c>
    </row>
    <row r="186" spans="1:11" x14ac:dyDescent="0.3">
      <c r="A186" s="3">
        <v>45657</v>
      </c>
      <c r="B186" t="s">
        <v>22</v>
      </c>
      <c r="C186" s="5">
        <v>2492281015.5900002</v>
      </c>
      <c r="D186" s="5">
        <v>2492281015.5900002</v>
      </c>
      <c r="E186" s="5">
        <v>2492281015.5900002</v>
      </c>
      <c r="F186" s="5">
        <v>2492281015.5900002</v>
      </c>
      <c r="G186" s="5">
        <v>2492281015.5900002</v>
      </c>
      <c r="I186" s="11">
        <f t="shared" si="9"/>
        <v>24922.810155900002</v>
      </c>
      <c r="J186" s="13">
        <f>(C181+F181)/2</f>
        <v>31435190.480096821</v>
      </c>
      <c r="K186" s="12">
        <f t="shared" si="10"/>
        <v>314.35190480096821</v>
      </c>
    </row>
    <row r="187" spans="1:11" x14ac:dyDescent="0.3">
      <c r="A187" s="3">
        <v>45747</v>
      </c>
      <c r="B187" t="s">
        <v>22</v>
      </c>
      <c r="C187" s="5">
        <v>2738649099.8299999</v>
      </c>
      <c r="D187" s="5">
        <v>2738649099.8299999</v>
      </c>
      <c r="E187" s="5">
        <v>2738649099.8299999</v>
      </c>
      <c r="F187" s="5">
        <v>2738649099.8299999</v>
      </c>
      <c r="G187" s="5">
        <v>2738649099.8299999</v>
      </c>
      <c r="I187" s="11">
        <f t="shared" si="9"/>
        <v>27386.4909983</v>
      </c>
    </row>
    <row r="188" spans="1:11" x14ac:dyDescent="0.3">
      <c r="A188" s="3">
        <v>45838</v>
      </c>
      <c r="B188" t="s">
        <v>22</v>
      </c>
      <c r="C188" s="5">
        <v>2784629132.1300001</v>
      </c>
      <c r="D188" s="5">
        <v>2784629132.1300001</v>
      </c>
      <c r="E188" s="5">
        <v>2784629132.1300001</v>
      </c>
      <c r="F188" s="5">
        <v>2784629132.1300001</v>
      </c>
      <c r="G188" s="5">
        <v>2784629132.1300001</v>
      </c>
      <c r="I188" s="11">
        <f t="shared" si="9"/>
        <v>27846.291321300003</v>
      </c>
    </row>
    <row r="189" spans="1:11" x14ac:dyDescent="0.3">
      <c r="A189" s="3">
        <v>45930</v>
      </c>
      <c r="B189" t="s">
        <v>98</v>
      </c>
      <c r="C189" s="7">
        <v>2908640930.2809191</v>
      </c>
      <c r="D189" s="5">
        <v>2673351697.1873131</v>
      </c>
      <c r="E189" s="5">
        <v>2922049366.2881718</v>
      </c>
      <c r="F189" s="5">
        <v>2781254801.904901</v>
      </c>
      <c r="G189" s="5">
        <v>2942728810.5324011</v>
      </c>
      <c r="I189" s="11">
        <f t="shared" si="9"/>
        <v>29086.409302809192</v>
      </c>
    </row>
    <row r="190" spans="1:11" x14ac:dyDescent="0.3">
      <c r="A190" s="3">
        <v>46022</v>
      </c>
      <c r="B190" t="s">
        <v>22</v>
      </c>
      <c r="C190" s="7">
        <v>2653973665.330071</v>
      </c>
      <c r="D190" s="5">
        <v>2702344221.5165362</v>
      </c>
      <c r="E190" s="5">
        <v>2812051843.9012251</v>
      </c>
      <c r="F190" s="5">
        <v>2583435719.9551182</v>
      </c>
      <c r="G190" s="5">
        <v>2490630971.2098498</v>
      </c>
      <c r="I190" s="11">
        <f t="shared" si="9"/>
        <v>26539.736653300708</v>
      </c>
    </row>
    <row r="191" spans="1:11" x14ac:dyDescent="0.3">
      <c r="A191" s="3">
        <v>46112</v>
      </c>
      <c r="B191" t="s">
        <v>22</v>
      </c>
      <c r="C191" s="7">
        <v>2910431440.5753379</v>
      </c>
      <c r="D191" s="5">
        <v>2730706473.577733</v>
      </c>
      <c r="E191" s="5">
        <v>3094287160.4057941</v>
      </c>
      <c r="F191" s="5">
        <v>2762896515.3082981</v>
      </c>
      <c r="G191" s="5">
        <v>2900446992.3466482</v>
      </c>
      <c r="I191" s="11">
        <f t="shared" si="9"/>
        <v>29104.314405753379</v>
      </c>
    </row>
    <row r="192" spans="1:11" x14ac:dyDescent="0.3">
      <c r="A192" s="3">
        <v>46203</v>
      </c>
      <c r="B192" t="s">
        <v>22</v>
      </c>
      <c r="C192" s="7">
        <v>2865987231.0294709</v>
      </c>
      <c r="D192" s="5">
        <v>2759383861.7729421</v>
      </c>
      <c r="E192" s="5">
        <v>3108797306.7214451</v>
      </c>
      <c r="F192" s="5">
        <v>2861018501.7827892</v>
      </c>
      <c r="G192" s="5">
        <v>2804364253.4508052</v>
      </c>
      <c r="I192" s="11">
        <f t="shared" si="9"/>
        <v>28659.872310294708</v>
      </c>
    </row>
    <row r="193" spans="1:11" x14ac:dyDescent="0.3">
      <c r="A193" s="3">
        <v>46295</v>
      </c>
      <c r="B193" t="s">
        <v>22</v>
      </c>
      <c r="C193" s="7">
        <v>3029751697.8531179</v>
      </c>
      <c r="D193" s="5">
        <v>2788376386.1021652</v>
      </c>
      <c r="E193" s="5">
        <v>3203338360.508409</v>
      </c>
      <c r="F193" s="5">
        <v>2844339638.669507</v>
      </c>
      <c r="G193" s="5">
        <v>3004984568.2732682</v>
      </c>
      <c r="I193" s="11">
        <f t="shared" si="9"/>
        <v>30297.516978531181</v>
      </c>
    </row>
    <row r="194" spans="1:11" x14ac:dyDescent="0.3">
      <c r="A194" s="3">
        <v>45291</v>
      </c>
      <c r="B194" t="s">
        <v>23</v>
      </c>
      <c r="C194" s="5">
        <v>26003080.77</v>
      </c>
      <c r="D194" s="5">
        <v>26003080.77</v>
      </c>
      <c r="E194" s="5">
        <v>26003080.77</v>
      </c>
      <c r="F194" s="5">
        <v>26003080.77</v>
      </c>
      <c r="G194" s="5">
        <v>26003080.77</v>
      </c>
      <c r="I194" s="11">
        <f t="shared" si="9"/>
        <v>260.03080769999997</v>
      </c>
      <c r="J194" s="13">
        <f>(C189+F189)/2</f>
        <v>2844947866.0929098</v>
      </c>
      <c r="K194" s="12">
        <f>J194/100000</f>
        <v>28449.478660929097</v>
      </c>
    </row>
    <row r="195" spans="1:11" x14ac:dyDescent="0.3">
      <c r="A195" s="3">
        <v>45382</v>
      </c>
      <c r="B195" t="s">
        <v>23</v>
      </c>
      <c r="C195" s="5">
        <v>42169448</v>
      </c>
      <c r="D195" s="5">
        <v>42169448</v>
      </c>
      <c r="E195" s="5">
        <v>42169448</v>
      </c>
      <c r="F195" s="5">
        <v>42169448</v>
      </c>
      <c r="G195" s="5">
        <v>42169448</v>
      </c>
      <c r="I195" s="11">
        <f t="shared" si="9"/>
        <v>421.69448</v>
      </c>
      <c r="J195" s="13">
        <f>(C190+F190)/2</f>
        <v>2618704692.6425943</v>
      </c>
      <c r="K195" s="12">
        <f t="shared" ref="K195:K198" si="11">J195/100000</f>
        <v>26187.046926425945</v>
      </c>
    </row>
    <row r="196" spans="1:11" x14ac:dyDescent="0.3">
      <c r="A196" s="3">
        <v>45473</v>
      </c>
      <c r="B196" t="s">
        <v>23</v>
      </c>
      <c r="C196" s="5">
        <v>60512548.460000001</v>
      </c>
      <c r="D196" s="5">
        <v>60512548.460000001</v>
      </c>
      <c r="E196" s="5">
        <v>60512548.460000001</v>
      </c>
      <c r="F196" s="5">
        <v>60512548.460000001</v>
      </c>
      <c r="G196" s="5">
        <v>60512548.460000001</v>
      </c>
      <c r="I196" s="11">
        <f t="shared" si="9"/>
        <v>605.12548460000005</v>
      </c>
      <c r="J196" s="13">
        <f>(C191+F191)/2</f>
        <v>2836663977.9418182</v>
      </c>
      <c r="K196" s="12">
        <f t="shared" si="11"/>
        <v>28366.639779418183</v>
      </c>
    </row>
    <row r="197" spans="1:11" x14ac:dyDescent="0.3">
      <c r="A197" s="3">
        <v>45565</v>
      </c>
      <c r="B197" t="s">
        <v>23</v>
      </c>
      <c r="C197" s="5">
        <v>50792904.850000001</v>
      </c>
      <c r="D197" s="5">
        <v>50792904.850000001</v>
      </c>
      <c r="E197" s="5">
        <v>50792904.850000001</v>
      </c>
      <c r="F197" s="5">
        <v>50792904.850000001</v>
      </c>
      <c r="G197" s="5">
        <v>50792904.850000001</v>
      </c>
      <c r="I197" s="11">
        <f t="shared" si="9"/>
        <v>507.92904850000002</v>
      </c>
      <c r="J197" s="13">
        <f>(C192+F192)/2</f>
        <v>2863502866.4061298</v>
      </c>
      <c r="K197" s="12">
        <f t="shared" si="11"/>
        <v>28635.028664061298</v>
      </c>
    </row>
    <row r="198" spans="1:11" x14ac:dyDescent="0.3">
      <c r="A198" s="3">
        <v>45657</v>
      </c>
      <c r="B198" t="s">
        <v>23</v>
      </c>
      <c r="C198" s="5">
        <v>86602925.109999999</v>
      </c>
      <c r="D198" s="5">
        <v>86602925.109999999</v>
      </c>
      <c r="E198" s="5">
        <v>86602925.109999999</v>
      </c>
      <c r="F198" s="5">
        <v>86602925.109999999</v>
      </c>
      <c r="G198" s="5">
        <v>86602925.109999999</v>
      </c>
      <c r="I198" s="11">
        <f t="shared" si="9"/>
        <v>866.02925110000001</v>
      </c>
      <c r="J198" s="13">
        <f>(C193+F193)/2</f>
        <v>2937045668.2613125</v>
      </c>
      <c r="K198" s="12">
        <f t="shared" si="11"/>
        <v>29370.456682613123</v>
      </c>
    </row>
    <row r="199" spans="1:11" x14ac:dyDescent="0.3">
      <c r="A199" s="3">
        <v>45747</v>
      </c>
      <c r="B199" t="s">
        <v>23</v>
      </c>
      <c r="C199" s="5">
        <v>84496221.170000002</v>
      </c>
      <c r="D199" s="5">
        <v>84496221.170000002</v>
      </c>
      <c r="E199" s="5">
        <v>84496221.170000002</v>
      </c>
      <c r="F199" s="5">
        <v>84496221.170000002</v>
      </c>
      <c r="G199" s="5">
        <v>84496221.170000002</v>
      </c>
      <c r="I199" s="11">
        <f t="shared" si="9"/>
        <v>844.96221170000001</v>
      </c>
    </row>
    <row r="200" spans="1:11" x14ac:dyDescent="0.3">
      <c r="A200" s="3">
        <v>45838</v>
      </c>
      <c r="B200" t="s">
        <v>60</v>
      </c>
      <c r="C200" s="5">
        <v>82064274.420000002</v>
      </c>
      <c r="D200" s="5">
        <v>82064274.420000002</v>
      </c>
      <c r="E200" s="5">
        <v>82064274.420000002</v>
      </c>
      <c r="F200" s="5">
        <v>82064274.420000002</v>
      </c>
      <c r="G200" s="5">
        <v>82064274.420000002</v>
      </c>
      <c r="I200" s="11">
        <f t="shared" si="9"/>
        <v>820.64274420000004</v>
      </c>
    </row>
    <row r="201" spans="1:11" x14ac:dyDescent="0.3">
      <c r="A201" s="3">
        <v>45930</v>
      </c>
      <c r="B201" t="s">
        <v>23</v>
      </c>
      <c r="C201" s="5">
        <v>61501282.215168759</v>
      </c>
      <c r="D201" s="5">
        <v>75049151.38095206</v>
      </c>
      <c r="E201" s="5">
        <v>70383985.29701218</v>
      </c>
      <c r="F201" s="7">
        <v>67673884.117926821</v>
      </c>
      <c r="G201" s="5">
        <v>78596966.466492951</v>
      </c>
      <c r="I201" s="11">
        <f t="shared" si="9"/>
        <v>615.0128221516876</v>
      </c>
    </row>
    <row r="202" spans="1:11" x14ac:dyDescent="0.3">
      <c r="A202" s="3">
        <v>46022</v>
      </c>
      <c r="B202" t="s">
        <v>23</v>
      </c>
      <c r="C202" s="5">
        <v>61693937.106842071</v>
      </c>
      <c r="D202" s="5">
        <v>75719574.153846189</v>
      </c>
      <c r="E202" s="5">
        <v>73643321.281129181</v>
      </c>
      <c r="F202" s="7">
        <v>73596156.163690358</v>
      </c>
      <c r="G202" s="5">
        <v>78931636.497989193</v>
      </c>
      <c r="I202" s="11">
        <f t="shared" si="9"/>
        <v>616.93937106842066</v>
      </c>
    </row>
    <row r="203" spans="1:11" x14ac:dyDescent="0.3">
      <c r="A203" s="3">
        <v>46112</v>
      </c>
      <c r="B203" t="s">
        <v>23</v>
      </c>
      <c r="C203" s="5">
        <v>86455688.78026706</v>
      </c>
      <c r="D203" s="5">
        <v>76375422.518633902</v>
      </c>
      <c r="E203" s="5">
        <v>92813433.112694725</v>
      </c>
      <c r="F203" s="7">
        <v>88491189.630270571</v>
      </c>
      <c r="G203" s="5">
        <v>79266306.529485419</v>
      </c>
      <c r="I203" s="11">
        <f t="shared" si="9"/>
        <v>864.55688780267064</v>
      </c>
    </row>
    <row r="204" spans="1:11" x14ac:dyDescent="0.3">
      <c r="A204" s="3">
        <v>46203</v>
      </c>
      <c r="B204" t="s">
        <v>23</v>
      </c>
      <c r="C204" s="5">
        <v>91963912.474014357</v>
      </c>
      <c r="D204" s="5">
        <v>77038558.087474823</v>
      </c>
      <c r="E204" s="5">
        <v>93411976.967319041</v>
      </c>
      <c r="F204" s="7">
        <v>96676113.088190883</v>
      </c>
      <c r="G204" s="5">
        <v>79600976.560981661</v>
      </c>
      <c r="I204" s="11">
        <f t="shared" si="9"/>
        <v>919.63912474014353</v>
      </c>
    </row>
    <row r="205" spans="1:11" x14ac:dyDescent="0.3">
      <c r="A205" s="3">
        <v>46295</v>
      </c>
      <c r="B205" t="s">
        <v>23</v>
      </c>
      <c r="C205" s="5">
        <v>66572520.305248573</v>
      </c>
      <c r="D205" s="5">
        <v>77708980.860368937</v>
      </c>
      <c r="E205" s="5">
        <v>79702618.146215215</v>
      </c>
      <c r="F205" s="7">
        <v>78145149.745024905</v>
      </c>
      <c r="G205" s="5">
        <v>79935646.592477888</v>
      </c>
      <c r="I205" s="11">
        <f t="shared" si="9"/>
        <v>665.72520305248577</v>
      </c>
    </row>
    <row r="206" spans="1:11" x14ac:dyDescent="0.3">
      <c r="A206" s="3">
        <v>45291</v>
      </c>
      <c r="B206" t="s">
        <v>24</v>
      </c>
      <c r="C206" s="5">
        <v>755635256</v>
      </c>
      <c r="D206" s="5">
        <v>755635256</v>
      </c>
      <c r="E206" s="5">
        <v>755635256</v>
      </c>
      <c r="F206" s="5">
        <v>755635256</v>
      </c>
      <c r="G206" s="5">
        <v>755635256</v>
      </c>
      <c r="I206" s="11">
        <f t="shared" si="9"/>
        <v>7556.3525600000003</v>
      </c>
    </row>
    <row r="207" spans="1:11" x14ac:dyDescent="0.3">
      <c r="A207" s="3">
        <v>45382</v>
      </c>
      <c r="B207" t="s">
        <v>24</v>
      </c>
      <c r="C207" s="5">
        <v>788528283.28999996</v>
      </c>
      <c r="D207" s="5">
        <v>788528283.28999996</v>
      </c>
      <c r="E207" s="5">
        <v>788528283.28999996</v>
      </c>
      <c r="F207" s="5">
        <v>788528283.28999996</v>
      </c>
      <c r="G207" s="5">
        <v>788528283.28999996</v>
      </c>
      <c r="I207" s="11">
        <f t="shared" si="9"/>
        <v>7885.2828328999994</v>
      </c>
    </row>
    <row r="208" spans="1:11" x14ac:dyDescent="0.3">
      <c r="A208" s="3">
        <v>45473</v>
      </c>
      <c r="B208" t="s">
        <v>24</v>
      </c>
      <c r="C208" s="5">
        <v>864348922.36000001</v>
      </c>
      <c r="D208" s="5">
        <v>864348922.36000001</v>
      </c>
      <c r="E208" s="5">
        <v>864348922.36000001</v>
      </c>
      <c r="F208" s="5">
        <v>864348922.36000001</v>
      </c>
      <c r="G208" s="5">
        <v>864348922.36000001</v>
      </c>
      <c r="I208" s="11">
        <f t="shared" si="9"/>
        <v>8643.4892235999996</v>
      </c>
    </row>
    <row r="209" spans="1:11" x14ac:dyDescent="0.3">
      <c r="A209" s="3">
        <v>45565</v>
      </c>
      <c r="B209" t="s">
        <v>24</v>
      </c>
      <c r="C209" s="5">
        <v>804432926</v>
      </c>
      <c r="D209" s="5">
        <v>804432926</v>
      </c>
      <c r="E209" s="5">
        <v>804432926</v>
      </c>
      <c r="F209" s="5">
        <v>804432926</v>
      </c>
      <c r="G209" s="5">
        <v>804432926</v>
      </c>
      <c r="I209" s="11">
        <f t="shared" si="9"/>
        <v>8044.3292600000004</v>
      </c>
    </row>
    <row r="210" spans="1:11" x14ac:dyDescent="0.3">
      <c r="A210" s="3">
        <v>45657</v>
      </c>
      <c r="B210" t="s">
        <v>24</v>
      </c>
      <c r="C210" s="5">
        <v>833989243.35000002</v>
      </c>
      <c r="D210" s="5">
        <v>833989243.35000002</v>
      </c>
      <c r="E210" s="5">
        <v>833989243.35000002</v>
      </c>
      <c r="F210" s="5">
        <v>833989243.35000002</v>
      </c>
      <c r="G210" s="5">
        <v>833989243.35000002</v>
      </c>
      <c r="I210" s="11">
        <f t="shared" si="9"/>
        <v>8339.8924335000011</v>
      </c>
    </row>
    <row r="211" spans="1:11" x14ac:dyDescent="0.3">
      <c r="A211" s="3">
        <v>45747</v>
      </c>
      <c r="B211" t="s">
        <v>24</v>
      </c>
      <c r="C211" s="5">
        <v>855455851.52999997</v>
      </c>
      <c r="D211" s="5">
        <v>855455851.52999997</v>
      </c>
      <c r="E211" s="5">
        <v>855455851.52999997</v>
      </c>
      <c r="F211" s="5">
        <v>855455851.52999997</v>
      </c>
      <c r="G211" s="5">
        <v>855455851.52999997</v>
      </c>
      <c r="I211" s="11">
        <f t="shared" si="9"/>
        <v>8554.5585152999993</v>
      </c>
    </row>
    <row r="212" spans="1:11" x14ac:dyDescent="0.3">
      <c r="A212" s="3">
        <v>45838</v>
      </c>
      <c r="B212" t="s">
        <v>24</v>
      </c>
      <c r="C212" s="5">
        <v>916356132.63</v>
      </c>
      <c r="D212" s="5">
        <v>916356132.63</v>
      </c>
      <c r="E212" s="5">
        <v>916356132.63</v>
      </c>
      <c r="F212" s="5">
        <v>916356132.63</v>
      </c>
      <c r="G212" s="5">
        <v>916356132.63</v>
      </c>
      <c r="I212" s="11">
        <f t="shared" si="9"/>
        <v>9163.5613262999996</v>
      </c>
    </row>
    <row r="213" spans="1:11" x14ac:dyDescent="0.3">
      <c r="A213" s="3">
        <v>45930</v>
      </c>
      <c r="B213" t="s">
        <v>99</v>
      </c>
      <c r="C213" s="7">
        <v>875927549.67510152</v>
      </c>
      <c r="D213" s="5">
        <v>897673597.55068421</v>
      </c>
      <c r="E213" s="5">
        <v>858733658.84640515</v>
      </c>
      <c r="F213" s="5">
        <v>789338026.54423082</v>
      </c>
      <c r="G213" s="5">
        <v>824272799.58971035</v>
      </c>
      <c r="I213" s="11">
        <f t="shared" si="9"/>
        <v>8759.2754967510155</v>
      </c>
    </row>
    <row r="214" spans="1:11" x14ac:dyDescent="0.3">
      <c r="A214" s="3">
        <v>46022</v>
      </c>
      <c r="B214" t="s">
        <v>24</v>
      </c>
      <c r="C214" s="7">
        <v>979661515.77386045</v>
      </c>
      <c r="D214" s="5">
        <v>920666902.32638597</v>
      </c>
      <c r="E214" s="5">
        <v>914763045.04915643</v>
      </c>
      <c r="F214" s="5">
        <v>896579192.65357304</v>
      </c>
      <c r="G214" s="5">
        <v>989852759.62896776</v>
      </c>
      <c r="I214" s="11">
        <f t="shared" si="9"/>
        <v>9796.6151577386045</v>
      </c>
    </row>
    <row r="215" spans="1:11" x14ac:dyDescent="0.3">
      <c r="A215" s="3">
        <v>46112</v>
      </c>
      <c r="B215" t="s">
        <v>24</v>
      </c>
      <c r="C215" s="7">
        <v>938051110.08654439</v>
      </c>
      <c r="D215" s="5">
        <v>943160352.650442</v>
      </c>
      <c r="E215" s="5">
        <v>938664196.25123918</v>
      </c>
      <c r="F215" s="5">
        <v>895046656.00407398</v>
      </c>
      <c r="G215" s="5">
        <v>860486613.03525245</v>
      </c>
      <c r="I215" s="11">
        <f t="shared" si="9"/>
        <v>9380.511100865444</v>
      </c>
    </row>
    <row r="216" spans="1:11" x14ac:dyDescent="0.3">
      <c r="A216" s="3">
        <v>46203</v>
      </c>
      <c r="B216" t="s">
        <v>24</v>
      </c>
      <c r="C216" s="7">
        <v>986621296.94710243</v>
      </c>
      <c r="D216" s="5">
        <v>965903730.2003212</v>
      </c>
      <c r="E216" s="5">
        <v>1001566600.964836</v>
      </c>
      <c r="F216" s="5">
        <v>922653239.91593564</v>
      </c>
      <c r="G216" s="5">
        <v>939649093.15670919</v>
      </c>
      <c r="I216" s="11">
        <f t="shared" si="9"/>
        <v>9866.2129694710238</v>
      </c>
    </row>
    <row r="217" spans="1:11" x14ac:dyDescent="0.3">
      <c r="A217" s="3">
        <v>46295</v>
      </c>
      <c r="B217" t="s">
        <v>24</v>
      </c>
      <c r="C217" s="7">
        <v>957952331.89813364</v>
      </c>
      <c r="D217" s="5">
        <v>988897034.97602296</v>
      </c>
      <c r="E217" s="5">
        <v>940555415.19994605</v>
      </c>
      <c r="G217" s="5">
        <v>847143386.94414592</v>
      </c>
      <c r="I217" s="11">
        <f t="shared" si="9"/>
        <v>9579.5233189813371</v>
      </c>
    </row>
    <row r="218" spans="1:11" x14ac:dyDescent="0.3">
      <c r="A218" s="3">
        <v>45291</v>
      </c>
      <c r="B218" t="s">
        <v>61</v>
      </c>
      <c r="C218" s="5">
        <v>372555301.51999998</v>
      </c>
      <c r="D218" s="5">
        <v>372555301.51999998</v>
      </c>
      <c r="E218" s="5">
        <v>372555301.51999998</v>
      </c>
      <c r="F218" s="5">
        <v>372555301.51999998</v>
      </c>
      <c r="G218" s="5">
        <v>372555301.51999998</v>
      </c>
      <c r="I218" s="11">
        <f t="shared" si="9"/>
        <v>3725.5530151999997</v>
      </c>
      <c r="J218" s="13">
        <f>(C213+F213)/2</f>
        <v>832632788.10966611</v>
      </c>
      <c r="K218" s="12">
        <f>J218/100000</f>
        <v>8326.3278810966603</v>
      </c>
    </row>
    <row r="219" spans="1:11" x14ac:dyDescent="0.3">
      <c r="A219" s="3">
        <v>45382</v>
      </c>
      <c r="B219" t="s">
        <v>25</v>
      </c>
      <c r="C219" s="5">
        <v>402162650</v>
      </c>
      <c r="D219" s="5">
        <v>402162650</v>
      </c>
      <c r="E219" s="5">
        <v>402162650</v>
      </c>
      <c r="F219" s="5">
        <v>402162650</v>
      </c>
      <c r="G219" s="5">
        <v>402162650</v>
      </c>
      <c r="I219" s="11">
        <f t="shared" si="9"/>
        <v>4021.6264999999999</v>
      </c>
      <c r="J219" s="13">
        <f>(C214+F214)/2</f>
        <v>938120354.21371675</v>
      </c>
      <c r="K219" s="12">
        <f t="shared" ref="K219:K221" si="12">J219/100000</f>
        <v>9381.2035421371675</v>
      </c>
    </row>
    <row r="220" spans="1:11" x14ac:dyDescent="0.3">
      <c r="A220" s="3">
        <v>45473</v>
      </c>
      <c r="B220" t="s">
        <v>25</v>
      </c>
      <c r="C220" s="5">
        <v>409978737</v>
      </c>
      <c r="D220" s="5">
        <v>409978737</v>
      </c>
      <c r="E220" s="5">
        <v>409978737</v>
      </c>
      <c r="F220" s="5">
        <v>409978737</v>
      </c>
      <c r="G220" s="5">
        <v>409978737</v>
      </c>
      <c r="I220" s="11">
        <f t="shared" si="9"/>
        <v>4099.78737</v>
      </c>
      <c r="J220" s="13">
        <f>(C215+F215)/2</f>
        <v>916548883.04530919</v>
      </c>
      <c r="K220" s="12">
        <f t="shared" si="12"/>
        <v>9165.4888304530923</v>
      </c>
    </row>
    <row r="221" spans="1:11" x14ac:dyDescent="0.3">
      <c r="A221" s="3">
        <v>45565</v>
      </c>
      <c r="B221" t="s">
        <v>25</v>
      </c>
      <c r="C221" s="5">
        <v>402692425</v>
      </c>
      <c r="D221" s="5">
        <v>402692425</v>
      </c>
      <c r="E221" s="5">
        <v>402692425</v>
      </c>
      <c r="F221" s="5">
        <v>402692425</v>
      </c>
      <c r="G221" s="5">
        <v>402692425</v>
      </c>
      <c r="I221" s="11">
        <f t="shared" si="9"/>
        <v>4026.92425</v>
      </c>
      <c r="J221" s="13">
        <f>(C216+F216)/2</f>
        <v>954637268.43151903</v>
      </c>
      <c r="K221" s="12">
        <f t="shared" si="12"/>
        <v>9546.3726843151908</v>
      </c>
    </row>
    <row r="222" spans="1:11" x14ac:dyDescent="0.3">
      <c r="A222" s="3">
        <v>45657</v>
      </c>
      <c r="B222" t="s">
        <v>25</v>
      </c>
      <c r="C222" s="5">
        <v>512269868</v>
      </c>
      <c r="D222" s="5">
        <v>512269868</v>
      </c>
      <c r="E222" s="5">
        <v>512269868</v>
      </c>
      <c r="F222" s="5">
        <v>512269868</v>
      </c>
      <c r="G222" s="5">
        <v>512269868</v>
      </c>
      <c r="I222" s="11">
        <f t="shared" si="9"/>
        <v>5122.6986800000004</v>
      </c>
      <c r="J222" s="13"/>
      <c r="K222" s="12"/>
    </row>
    <row r="223" spans="1:11" x14ac:dyDescent="0.3">
      <c r="A223" s="3">
        <v>45747</v>
      </c>
      <c r="B223" t="s">
        <v>25</v>
      </c>
      <c r="C223" s="5">
        <v>639297449</v>
      </c>
      <c r="D223" s="5">
        <v>639297449</v>
      </c>
      <c r="E223" s="5">
        <v>639297449</v>
      </c>
      <c r="F223" s="5">
        <v>639297449</v>
      </c>
      <c r="G223" s="5">
        <v>639297449</v>
      </c>
      <c r="I223" s="11">
        <f t="shared" si="9"/>
        <v>6392.9744899999996</v>
      </c>
    </row>
    <row r="224" spans="1:11" x14ac:dyDescent="0.3">
      <c r="A224" s="3">
        <v>45838</v>
      </c>
      <c r="B224" t="s">
        <v>25</v>
      </c>
      <c r="C224" s="5">
        <v>643289510</v>
      </c>
      <c r="D224" s="5">
        <v>643289510</v>
      </c>
      <c r="E224" s="5">
        <v>643289510</v>
      </c>
      <c r="F224" s="5">
        <v>643289510</v>
      </c>
      <c r="G224" s="5">
        <v>643289510</v>
      </c>
      <c r="I224" s="11">
        <f t="shared" si="9"/>
        <v>6432.8950999999997</v>
      </c>
    </row>
    <row r="225" spans="1:12" x14ac:dyDescent="0.3">
      <c r="A225" s="3">
        <v>45930</v>
      </c>
      <c r="B225" t="s">
        <v>61</v>
      </c>
      <c r="C225" s="7">
        <v>672069830.27748191</v>
      </c>
      <c r="D225" s="5">
        <v>531088832.02205628</v>
      </c>
      <c r="E225" s="5">
        <v>685464469.96932518</v>
      </c>
      <c r="F225" s="5">
        <v>646488859.53691804</v>
      </c>
      <c r="G225" s="5">
        <v>614309548.55474043</v>
      </c>
      <c r="I225" s="11">
        <f t="shared" si="9"/>
        <v>6720.6983027748192</v>
      </c>
    </row>
    <row r="226" spans="1:12" x14ac:dyDescent="0.3">
      <c r="A226" s="3">
        <v>46022</v>
      </c>
      <c r="B226" t="s">
        <v>25</v>
      </c>
      <c r="C226" s="7">
        <v>698645135.88419306</v>
      </c>
      <c r="D226" s="5">
        <v>546418394.19886994</v>
      </c>
      <c r="E226" s="5">
        <v>694667342.5895927</v>
      </c>
      <c r="F226" s="5">
        <v>643221869.06288707</v>
      </c>
      <c r="G226" s="5">
        <v>617786309.04178417</v>
      </c>
      <c r="I226" s="11">
        <f t="shared" ref="I226:I291" si="13">C226/100000</f>
        <v>6986.4513588419304</v>
      </c>
    </row>
    <row r="227" spans="1:12" x14ac:dyDescent="0.3">
      <c r="A227" s="3">
        <v>46112</v>
      </c>
      <c r="B227" t="s">
        <v>25</v>
      </c>
      <c r="C227" s="7">
        <v>738742746.67246819</v>
      </c>
      <c r="D227" s="5">
        <v>561414705.02401364</v>
      </c>
      <c r="E227" s="5">
        <v>772418512.56979275</v>
      </c>
      <c r="F227" s="5">
        <v>669687499.32885087</v>
      </c>
      <c r="G227" s="5">
        <v>646746541.19729531</v>
      </c>
      <c r="I227" s="11">
        <f t="shared" si="13"/>
        <v>7387.4274667246818</v>
      </c>
    </row>
    <row r="228" spans="1:12" x14ac:dyDescent="0.3">
      <c r="A228" s="3">
        <v>46203</v>
      </c>
      <c r="B228" t="s">
        <v>25</v>
      </c>
      <c r="C228" s="7">
        <v>769559168.47412539</v>
      </c>
      <c r="D228" s="5">
        <v>576577641.52499235</v>
      </c>
      <c r="E228" s="5">
        <v>795035250.78755665</v>
      </c>
      <c r="F228" s="5">
        <v>648928355.77266133</v>
      </c>
      <c r="G228" s="5">
        <v>659903203.49523973</v>
      </c>
      <c r="I228" s="11">
        <f t="shared" si="13"/>
        <v>7695.5916847412536</v>
      </c>
    </row>
    <row r="229" spans="1:12" x14ac:dyDescent="0.3">
      <c r="A229" s="3">
        <v>46295</v>
      </c>
      <c r="B229" t="s">
        <v>25</v>
      </c>
      <c r="C229" s="7">
        <v>796492635.75314057</v>
      </c>
      <c r="D229" s="5">
        <v>591907203.70180595</v>
      </c>
      <c r="E229" s="5">
        <v>780663912.65512466</v>
      </c>
      <c r="G229" s="5">
        <v>630071347.38202381</v>
      </c>
      <c r="I229" s="11">
        <f t="shared" si="13"/>
        <v>7964.9263575314053</v>
      </c>
      <c r="K229" s="14">
        <f>SUM(C223:C226)</f>
        <v>2653301925.161675</v>
      </c>
    </row>
    <row r="230" spans="1:12" x14ac:dyDescent="0.3">
      <c r="A230" s="3">
        <v>45291</v>
      </c>
      <c r="B230" t="s">
        <v>26</v>
      </c>
      <c r="C230" s="5">
        <v>411264998.33999997</v>
      </c>
      <c r="D230" s="5">
        <v>411264998.33999997</v>
      </c>
      <c r="E230" s="5">
        <v>411264998.33999997</v>
      </c>
      <c r="F230" s="5">
        <v>411264998.33999997</v>
      </c>
      <c r="G230" s="5">
        <v>411264998.33999997</v>
      </c>
      <c r="I230" s="11">
        <f t="shared" si="13"/>
        <v>4112.6499833999997</v>
      </c>
      <c r="J230" s="13">
        <f>(C225+F225)/2</f>
        <v>659279344.90719998</v>
      </c>
      <c r="K230" s="12">
        <f>J230/100000</f>
        <v>6592.7934490719999</v>
      </c>
    </row>
    <row r="231" spans="1:12" x14ac:dyDescent="0.3">
      <c r="A231" s="3">
        <v>45382</v>
      </c>
      <c r="B231" t="s">
        <v>26</v>
      </c>
      <c r="C231" s="5">
        <v>399444149.81999999</v>
      </c>
      <c r="D231" s="5">
        <v>399444149.81999999</v>
      </c>
      <c r="E231" s="5">
        <v>399444149.81999999</v>
      </c>
      <c r="F231" s="5">
        <v>399444149.81999999</v>
      </c>
      <c r="G231" s="5">
        <v>399444149.81999999</v>
      </c>
      <c r="I231" s="11">
        <f t="shared" si="13"/>
        <v>3994.4414981999998</v>
      </c>
      <c r="J231" s="13">
        <f>(C226+F226)/2</f>
        <v>670933502.47354007</v>
      </c>
      <c r="K231" s="12">
        <f t="shared" ref="K231:K233" si="14">J231/100000</f>
        <v>6709.335024735401</v>
      </c>
    </row>
    <row r="232" spans="1:12" x14ac:dyDescent="0.3">
      <c r="A232" s="3">
        <v>45473</v>
      </c>
      <c r="B232" t="s">
        <v>62</v>
      </c>
      <c r="C232" s="5">
        <v>422072382.13</v>
      </c>
      <c r="D232" s="5">
        <v>422072382.13</v>
      </c>
      <c r="E232" s="5">
        <v>422072382.13</v>
      </c>
      <c r="F232" s="5">
        <v>422072382.13</v>
      </c>
      <c r="G232" s="5">
        <v>422072382.13</v>
      </c>
      <c r="I232" s="11">
        <f t="shared" si="13"/>
        <v>4220.7238213000001</v>
      </c>
      <c r="J232" s="13">
        <f>(C227+F227)/2</f>
        <v>704215123.00065947</v>
      </c>
      <c r="K232" s="12">
        <f t="shared" si="14"/>
        <v>7042.1512300065942</v>
      </c>
    </row>
    <row r="233" spans="1:12" x14ac:dyDescent="0.3">
      <c r="A233" s="3">
        <v>45565</v>
      </c>
      <c r="B233" t="s">
        <v>26</v>
      </c>
      <c r="C233" s="5">
        <v>420414721.17000002</v>
      </c>
      <c r="D233" s="5">
        <v>420414721.17000002</v>
      </c>
      <c r="E233" s="5">
        <v>420414721.17000002</v>
      </c>
      <c r="F233" s="5">
        <v>420414721.17000002</v>
      </c>
      <c r="G233" s="5">
        <v>420414721.17000002</v>
      </c>
      <c r="I233" s="11">
        <f t="shared" si="13"/>
        <v>4204.1472117000003</v>
      </c>
      <c r="J233" s="13">
        <f>(C228+F228)/2</f>
        <v>709243762.1233933</v>
      </c>
      <c r="K233" s="12">
        <f t="shared" si="14"/>
        <v>7092.437621233933</v>
      </c>
    </row>
    <row r="234" spans="1:12" x14ac:dyDescent="0.3">
      <c r="A234" s="3">
        <v>45657</v>
      </c>
      <c r="B234" t="s">
        <v>26</v>
      </c>
      <c r="C234" s="5">
        <v>428613936.75999999</v>
      </c>
      <c r="D234" s="5">
        <v>428613936.75999999</v>
      </c>
      <c r="E234" s="5">
        <v>428613936.75999999</v>
      </c>
      <c r="F234" s="5">
        <v>428613936.75999999</v>
      </c>
      <c r="G234" s="5">
        <v>428613936.75999999</v>
      </c>
      <c r="I234" s="11">
        <f t="shared" si="13"/>
        <v>4286.1393675999998</v>
      </c>
      <c r="J234" s="13">
        <f>(C229+F229)/2</f>
        <v>398246317.87657028</v>
      </c>
      <c r="L234" s="14"/>
    </row>
    <row r="235" spans="1:12" x14ac:dyDescent="0.3">
      <c r="A235" s="3">
        <v>45747</v>
      </c>
      <c r="B235" t="s">
        <v>26</v>
      </c>
      <c r="C235" s="5">
        <v>445589676.64999998</v>
      </c>
      <c r="D235" s="5">
        <v>445589676.64999998</v>
      </c>
      <c r="E235" s="5">
        <v>445589676.64999998</v>
      </c>
      <c r="F235" s="5">
        <v>445589676.64999998</v>
      </c>
      <c r="G235" s="5">
        <v>445589676.64999998</v>
      </c>
      <c r="I235" s="11">
        <f t="shared" si="13"/>
        <v>4455.8967665</v>
      </c>
    </row>
    <row r="236" spans="1:12" x14ac:dyDescent="0.3">
      <c r="A236" s="3">
        <v>45838</v>
      </c>
      <c r="B236" t="s">
        <v>26</v>
      </c>
      <c r="C236" s="5">
        <v>424673817.98000002</v>
      </c>
      <c r="D236" s="5">
        <v>424673817.98000002</v>
      </c>
      <c r="E236" s="5">
        <v>424673817.98000002</v>
      </c>
      <c r="F236" s="5">
        <v>424673817.98000002</v>
      </c>
      <c r="G236" s="5">
        <v>424673817.98000002</v>
      </c>
      <c r="I236" s="11">
        <f t="shared" si="13"/>
        <v>4246.7381798000006</v>
      </c>
    </row>
    <row r="237" spans="1:12" x14ac:dyDescent="0.3">
      <c r="A237" s="3">
        <v>45930</v>
      </c>
      <c r="B237" t="s">
        <v>62</v>
      </c>
      <c r="C237" s="6">
        <v>420682994.22269982</v>
      </c>
      <c r="D237" s="5">
        <v>504712812.80650407</v>
      </c>
      <c r="E237" s="5">
        <v>416936857.6792478</v>
      </c>
      <c r="F237" s="5">
        <v>397425813.82256359</v>
      </c>
      <c r="G237" s="5">
        <v>423068649.53220409</v>
      </c>
      <c r="I237" s="11">
        <f t="shared" si="13"/>
        <v>4206.8299422269984</v>
      </c>
    </row>
    <row r="238" spans="1:12" x14ac:dyDescent="0.3">
      <c r="A238" s="3">
        <v>46022</v>
      </c>
      <c r="B238" t="s">
        <v>26</v>
      </c>
      <c r="C238" s="6">
        <v>379879762.36234009</v>
      </c>
      <c r="D238" s="5">
        <v>510576363.08453578</v>
      </c>
      <c r="E238" s="5">
        <v>397032174.3173039</v>
      </c>
      <c r="F238" s="5">
        <v>392053038.9785797</v>
      </c>
      <c r="G238" s="5">
        <v>392887974.67074329</v>
      </c>
      <c r="I238" s="11">
        <f t="shared" si="13"/>
        <v>3798.7976236234008</v>
      </c>
    </row>
    <row r="239" spans="1:12" x14ac:dyDescent="0.3">
      <c r="A239" s="3">
        <v>46112</v>
      </c>
      <c r="B239" t="s">
        <v>26</v>
      </c>
      <c r="C239" s="6">
        <v>413635359.64998293</v>
      </c>
      <c r="D239" s="5">
        <v>516312444.87826252</v>
      </c>
      <c r="E239" s="5">
        <v>417709824.16775447</v>
      </c>
      <c r="F239" s="5">
        <v>418391422.87669343</v>
      </c>
      <c r="G239" s="5">
        <v>430444167.1401577</v>
      </c>
      <c r="I239" s="11">
        <f t="shared" si="13"/>
        <v>4136.3535964998291</v>
      </c>
    </row>
    <row r="240" spans="1:12" x14ac:dyDescent="0.3">
      <c r="A240" s="3">
        <v>46203</v>
      </c>
      <c r="B240" t="s">
        <v>26</v>
      </c>
      <c r="C240" s="6">
        <v>429499930.43979841</v>
      </c>
      <c r="D240" s="5">
        <v>522112260.91414171</v>
      </c>
      <c r="E240" s="5">
        <v>406484087.91445571</v>
      </c>
      <c r="F240" s="5">
        <v>418817104.99513668</v>
      </c>
      <c r="G240" s="5">
        <v>436651331.0080694</v>
      </c>
      <c r="I240" s="11">
        <f t="shared" si="13"/>
        <v>4294.9993043979839</v>
      </c>
    </row>
    <row r="241" spans="1:11" x14ac:dyDescent="0.3">
      <c r="A241" s="3">
        <v>46295</v>
      </c>
      <c r="B241" t="s">
        <v>26</v>
      </c>
      <c r="C241" s="6">
        <v>425324780.80230349</v>
      </c>
      <c r="D241" s="5">
        <v>527975811.19217342</v>
      </c>
      <c r="E241" s="5">
        <v>400114953.31856233</v>
      </c>
      <c r="G241" s="5">
        <v>434914077.2835148</v>
      </c>
      <c r="I241" s="11">
        <f t="shared" si="13"/>
        <v>4253.2478080230348</v>
      </c>
    </row>
    <row r="242" spans="1:11" x14ac:dyDescent="0.3">
      <c r="A242" s="3">
        <v>45291</v>
      </c>
      <c r="B242" t="s">
        <v>27</v>
      </c>
      <c r="C242" s="5">
        <v>1030377656.7</v>
      </c>
      <c r="D242" s="5">
        <v>1030377656.7</v>
      </c>
      <c r="E242" s="5">
        <v>1030377656.7</v>
      </c>
      <c r="F242" s="5">
        <v>1030377656.7</v>
      </c>
      <c r="G242" s="5">
        <v>1030377656.7</v>
      </c>
      <c r="I242" s="11">
        <f t="shared" si="13"/>
        <v>10303.776567000001</v>
      </c>
      <c r="J242" s="13">
        <f>(C237+F237)/2</f>
        <v>409054404.0226317</v>
      </c>
      <c r="K242" s="12">
        <f>J242/100000</f>
        <v>4090.5440402263171</v>
      </c>
    </row>
    <row r="243" spans="1:11" x14ac:dyDescent="0.3">
      <c r="A243" s="3">
        <v>45382</v>
      </c>
      <c r="B243" t="s">
        <v>27</v>
      </c>
      <c r="C243" s="5">
        <v>1038639368.24</v>
      </c>
      <c r="D243" s="5">
        <v>1038639368.24</v>
      </c>
      <c r="E243" s="5">
        <v>1038639368.24</v>
      </c>
      <c r="F243" s="5">
        <v>1038639368.24</v>
      </c>
      <c r="G243" s="5">
        <v>1038639368.24</v>
      </c>
      <c r="I243" s="11">
        <f t="shared" si="13"/>
        <v>10386.393682399999</v>
      </c>
      <c r="J243" s="13">
        <f>(C238+F238)/2</f>
        <v>385966400.67045987</v>
      </c>
      <c r="K243" s="12">
        <f t="shared" ref="K243:K245" si="15">J243/100000</f>
        <v>3859.6640067045987</v>
      </c>
    </row>
    <row r="244" spans="1:11" x14ac:dyDescent="0.3">
      <c r="A244" s="3">
        <v>45473</v>
      </c>
      <c r="B244" t="s">
        <v>27</v>
      </c>
      <c r="C244" s="5">
        <v>1132436891.1500001</v>
      </c>
      <c r="D244" s="5">
        <v>1132436891.1500001</v>
      </c>
      <c r="E244" s="5">
        <v>1132436891.1500001</v>
      </c>
      <c r="F244" s="5">
        <v>1132436891.1500001</v>
      </c>
      <c r="G244" s="5">
        <v>1132436891.1500001</v>
      </c>
      <c r="I244" s="11">
        <f t="shared" si="13"/>
        <v>11324.368911500002</v>
      </c>
      <c r="J244" s="13">
        <f>(C239+F239)/2</f>
        <v>416013391.26333821</v>
      </c>
      <c r="K244" s="12">
        <f t="shared" si="15"/>
        <v>4160.1339126333824</v>
      </c>
    </row>
    <row r="245" spans="1:11" x14ac:dyDescent="0.3">
      <c r="A245" s="3">
        <v>45565</v>
      </c>
      <c r="B245" t="s">
        <v>27</v>
      </c>
      <c r="C245" s="5">
        <v>1021214859.52</v>
      </c>
      <c r="D245" s="5">
        <v>1021214859.52</v>
      </c>
      <c r="E245" s="5">
        <v>1021214859.52</v>
      </c>
      <c r="F245" s="5">
        <v>1021214859.52</v>
      </c>
      <c r="G245" s="5">
        <v>1021214859.52</v>
      </c>
      <c r="I245" s="11">
        <f t="shared" si="13"/>
        <v>10212.1485952</v>
      </c>
      <c r="J245" s="13">
        <f>(C240+F240)/2</f>
        <v>424158517.71746755</v>
      </c>
      <c r="K245" s="12">
        <f t="shared" si="15"/>
        <v>4241.5851771746757</v>
      </c>
    </row>
    <row r="246" spans="1:11" x14ac:dyDescent="0.3">
      <c r="A246" s="3">
        <v>45657</v>
      </c>
      <c r="B246" t="s">
        <v>27</v>
      </c>
      <c r="C246" s="5">
        <v>1359546133.55</v>
      </c>
      <c r="D246" s="5">
        <v>1359546133.55</v>
      </c>
      <c r="E246" s="5">
        <v>1359546133.55</v>
      </c>
      <c r="F246" s="5">
        <v>1359546133.55</v>
      </c>
      <c r="G246" s="5">
        <v>1359546133.55</v>
      </c>
      <c r="I246" s="11">
        <f t="shared" si="13"/>
        <v>13595.4613355</v>
      </c>
      <c r="J246" s="13">
        <f>(C241+F241)/2</f>
        <v>212662390.40115175</v>
      </c>
    </row>
    <row r="247" spans="1:11" x14ac:dyDescent="0.3">
      <c r="A247" s="3">
        <v>45747</v>
      </c>
      <c r="B247" t="s">
        <v>27</v>
      </c>
      <c r="C247" s="5">
        <v>1032084355.63</v>
      </c>
      <c r="D247" s="5">
        <v>1032084355.63</v>
      </c>
      <c r="E247" s="5">
        <v>1032084355.63</v>
      </c>
      <c r="F247" s="5">
        <v>1032084355.63</v>
      </c>
      <c r="G247" s="5">
        <v>1032084355.63</v>
      </c>
      <c r="I247" s="11">
        <f t="shared" si="13"/>
        <v>10320.8435563</v>
      </c>
    </row>
    <row r="248" spans="1:11" x14ac:dyDescent="0.3">
      <c r="A248" s="3">
        <v>45838</v>
      </c>
      <c r="B248" t="s">
        <v>27</v>
      </c>
      <c r="C248" s="5">
        <v>1193042129.3299999</v>
      </c>
      <c r="D248" s="5">
        <v>1193042129.3299999</v>
      </c>
      <c r="E248" s="5">
        <v>1193042129.3299999</v>
      </c>
      <c r="F248" s="5">
        <v>1193042129.3299999</v>
      </c>
      <c r="G248" s="5">
        <v>1193042129.3299999</v>
      </c>
      <c r="I248" s="11">
        <f t="shared" si="13"/>
        <v>11930.4212933</v>
      </c>
    </row>
    <row r="249" spans="1:11" x14ac:dyDescent="0.3">
      <c r="A249" s="3">
        <v>45930</v>
      </c>
      <c r="B249" t="s">
        <v>101</v>
      </c>
      <c r="C249" s="7">
        <v>1205184660.873302</v>
      </c>
      <c r="D249" s="5">
        <v>1214417690.2994959</v>
      </c>
      <c r="E249" s="5">
        <v>1252754365.3100851</v>
      </c>
      <c r="F249" s="5">
        <v>1153035483.9085331</v>
      </c>
      <c r="G249" s="5">
        <v>1116587167.495039</v>
      </c>
      <c r="I249" s="11">
        <f t="shared" si="13"/>
        <v>12051.84660873302</v>
      </c>
    </row>
    <row r="250" spans="1:11" x14ac:dyDescent="0.3">
      <c r="A250" s="3">
        <v>46022</v>
      </c>
      <c r="B250" t="s">
        <v>27</v>
      </c>
      <c r="C250" s="7">
        <v>1277808365.0366361</v>
      </c>
      <c r="D250" s="5">
        <v>1242847409.535089</v>
      </c>
      <c r="E250" s="5">
        <v>1224416519.63743</v>
      </c>
      <c r="F250" s="5">
        <v>1194493768.6044171</v>
      </c>
      <c r="G250" s="5">
        <v>1240439982.454983</v>
      </c>
      <c r="I250" s="11">
        <f t="shared" si="13"/>
        <v>12778.083650366361</v>
      </c>
    </row>
    <row r="251" spans="1:11" x14ac:dyDescent="0.3">
      <c r="A251" s="3">
        <v>46112</v>
      </c>
      <c r="B251" t="s">
        <v>27</v>
      </c>
      <c r="C251" s="7">
        <v>1222400705.046627</v>
      </c>
      <c r="D251" s="5">
        <v>1270659091.3959949</v>
      </c>
      <c r="E251" s="5">
        <v>1050588292.757812</v>
      </c>
      <c r="F251" s="5">
        <v>1154187724.786366</v>
      </c>
      <c r="G251" s="5">
        <v>1123879194.6213911</v>
      </c>
      <c r="I251" s="11">
        <f t="shared" si="13"/>
        <v>12224.007050466271</v>
      </c>
    </row>
    <row r="252" spans="1:11" x14ac:dyDescent="0.3">
      <c r="A252" s="3">
        <v>46203</v>
      </c>
      <c r="B252" t="s">
        <v>27</v>
      </c>
      <c r="C252" s="7">
        <v>1290693912.115413</v>
      </c>
      <c r="D252" s="5">
        <v>1298779791.9442451</v>
      </c>
      <c r="E252" s="5">
        <v>1411405114.443543</v>
      </c>
      <c r="F252" s="5">
        <v>1308880687.5717499</v>
      </c>
      <c r="G252" s="5">
        <v>1217343283.258745</v>
      </c>
      <c r="I252" s="11">
        <f t="shared" si="13"/>
        <v>12906.93912115413</v>
      </c>
    </row>
    <row r="253" spans="1:11" x14ac:dyDescent="0.3">
      <c r="A253" s="3">
        <v>46295</v>
      </c>
      <c r="B253" t="s">
        <v>27</v>
      </c>
      <c r="C253" s="7">
        <v>1303794412.2528241</v>
      </c>
      <c r="D253" s="5">
        <v>1327209511.1798379</v>
      </c>
      <c r="E253" s="5">
        <v>1234383916.4532449</v>
      </c>
      <c r="F253" s="5">
        <v>1086472569.7742579</v>
      </c>
      <c r="G253" s="5">
        <v>1147335609.886534</v>
      </c>
      <c r="I253" s="11">
        <f t="shared" si="13"/>
        <v>13037.944122528241</v>
      </c>
    </row>
    <row r="254" spans="1:11" x14ac:dyDescent="0.3">
      <c r="A254" s="3">
        <v>45291</v>
      </c>
      <c r="B254" t="s">
        <v>28</v>
      </c>
      <c r="C254" s="5">
        <v>155852900.74000001</v>
      </c>
      <c r="D254" s="5">
        <v>155852900.74000001</v>
      </c>
      <c r="E254" s="5">
        <v>155852900.74000001</v>
      </c>
      <c r="F254" s="5">
        <v>155852900.74000001</v>
      </c>
      <c r="G254" s="5">
        <v>155852900.74000001</v>
      </c>
      <c r="I254" s="11">
        <f t="shared" si="13"/>
        <v>1558.5290074000002</v>
      </c>
      <c r="J254" s="13">
        <f>(C249+F249)/2</f>
        <v>1179110072.3909175</v>
      </c>
      <c r="K254" s="12">
        <f>J254/100000</f>
        <v>11791.100723909176</v>
      </c>
    </row>
    <row r="255" spans="1:11" x14ac:dyDescent="0.3">
      <c r="A255" s="3">
        <v>45382</v>
      </c>
      <c r="B255" t="s">
        <v>28</v>
      </c>
      <c r="C255" s="5">
        <v>140241237.62</v>
      </c>
      <c r="D255" s="5">
        <v>140241237.62</v>
      </c>
      <c r="E255" s="5">
        <v>140241237.62</v>
      </c>
      <c r="F255" s="5">
        <v>140241237.62</v>
      </c>
      <c r="G255" s="5">
        <v>140241237.62</v>
      </c>
      <c r="I255" s="11">
        <f t="shared" si="13"/>
        <v>1402.4123762000002</v>
      </c>
      <c r="J255" s="13">
        <f>(C250+F250)/2</f>
        <v>1236151066.8205266</v>
      </c>
      <c r="K255" s="12">
        <f t="shared" ref="K255:K257" si="16">J255/100000</f>
        <v>12361.510668205266</v>
      </c>
    </row>
    <row r="256" spans="1:11" x14ac:dyDescent="0.3">
      <c r="A256" s="3">
        <v>45473</v>
      </c>
      <c r="B256" t="s">
        <v>28</v>
      </c>
      <c r="C256" s="5">
        <v>158969116.50999999</v>
      </c>
      <c r="D256" s="5">
        <v>158969116.50999999</v>
      </c>
      <c r="E256" s="5">
        <v>158969116.50999999</v>
      </c>
      <c r="F256" s="5">
        <v>158969116.50999999</v>
      </c>
      <c r="G256" s="5">
        <v>158969116.50999999</v>
      </c>
      <c r="I256" s="11">
        <f t="shared" si="13"/>
        <v>1589.6911650999998</v>
      </c>
      <c r="J256" s="13">
        <f>(C251+F251)/2</f>
        <v>1188294214.9164965</v>
      </c>
      <c r="K256" s="12">
        <f t="shared" si="16"/>
        <v>11882.942149164965</v>
      </c>
    </row>
    <row r="257" spans="1:11" x14ac:dyDescent="0.3">
      <c r="A257" s="3">
        <v>45565</v>
      </c>
      <c r="B257" t="s">
        <v>28</v>
      </c>
      <c r="C257" s="5">
        <v>151884870.49000001</v>
      </c>
      <c r="D257" s="5">
        <v>151884870.49000001</v>
      </c>
      <c r="E257" s="5">
        <v>151884870.49000001</v>
      </c>
      <c r="F257" s="5">
        <v>151884870.49000001</v>
      </c>
      <c r="G257" s="5">
        <v>151884870.49000001</v>
      </c>
      <c r="I257" s="11">
        <f t="shared" si="13"/>
        <v>1518.8487049</v>
      </c>
      <c r="J257" s="13">
        <f>(C252+F252)/2</f>
        <v>1299787299.8435814</v>
      </c>
      <c r="K257" s="12">
        <f t="shared" si="16"/>
        <v>12997.872998435814</v>
      </c>
    </row>
    <row r="258" spans="1:11" x14ac:dyDescent="0.3">
      <c r="A258" s="3">
        <v>45657</v>
      </c>
      <c r="B258" t="s">
        <v>28</v>
      </c>
      <c r="C258" s="5">
        <v>146535038.78999999</v>
      </c>
      <c r="D258" s="5">
        <v>146535038.78999999</v>
      </c>
      <c r="E258" s="5">
        <v>146535038.78999999</v>
      </c>
      <c r="F258" s="5">
        <v>146535038.78999999</v>
      </c>
      <c r="G258" s="5">
        <v>146535038.78999999</v>
      </c>
      <c r="I258" s="11">
        <f t="shared" si="13"/>
        <v>1465.3503879</v>
      </c>
    </row>
    <row r="259" spans="1:11" x14ac:dyDescent="0.3">
      <c r="A259" s="3">
        <v>45747</v>
      </c>
      <c r="B259" t="s">
        <v>28</v>
      </c>
      <c r="C259" s="5">
        <v>154315882.63</v>
      </c>
      <c r="D259" s="5">
        <v>154315882.63</v>
      </c>
      <c r="E259" s="5">
        <v>154315882.63</v>
      </c>
      <c r="F259" s="5">
        <v>154315882.63</v>
      </c>
      <c r="G259" s="5">
        <v>154315882.63</v>
      </c>
      <c r="I259" s="11">
        <f t="shared" si="13"/>
        <v>1543.1588262999999</v>
      </c>
    </row>
    <row r="260" spans="1:11" x14ac:dyDescent="0.3">
      <c r="A260" s="3">
        <v>45838</v>
      </c>
      <c r="B260" t="s">
        <v>63</v>
      </c>
      <c r="C260" s="7">
        <v>163725947.93000001</v>
      </c>
      <c r="D260" s="5">
        <v>163725947.93000001</v>
      </c>
      <c r="E260" s="5">
        <v>163725947.93000001</v>
      </c>
      <c r="F260" s="5">
        <v>163725947.93000001</v>
      </c>
      <c r="G260" s="5">
        <v>163725947.93000001</v>
      </c>
      <c r="I260" s="11">
        <f t="shared" si="13"/>
        <v>1637.2594793000001</v>
      </c>
    </row>
    <row r="261" spans="1:11" x14ac:dyDescent="0.3">
      <c r="A261" s="3">
        <v>45930</v>
      </c>
      <c r="B261" t="s">
        <v>28</v>
      </c>
      <c r="C261" s="7">
        <v>165944580.05610231</v>
      </c>
      <c r="D261" s="5">
        <v>173537410.29243061</v>
      </c>
      <c r="E261" s="5">
        <v>163126221.13908839</v>
      </c>
      <c r="F261" s="5">
        <v>164287083.37984741</v>
      </c>
      <c r="G261" s="5">
        <v>162279181.73938161</v>
      </c>
      <c r="I261" s="11">
        <f t="shared" si="13"/>
        <v>1659.4458005610231</v>
      </c>
    </row>
    <row r="262" spans="1:11" x14ac:dyDescent="0.3">
      <c r="A262" s="3">
        <v>46022</v>
      </c>
      <c r="B262" t="s">
        <v>28</v>
      </c>
      <c r="C262" s="7">
        <v>159893283.45169911</v>
      </c>
      <c r="D262" s="5">
        <v>175831608.2523008</v>
      </c>
      <c r="E262" s="5">
        <v>153970603.40890789</v>
      </c>
      <c r="F262" s="5">
        <v>154043522.00700819</v>
      </c>
      <c r="G262" s="5">
        <v>149680731.41246629</v>
      </c>
      <c r="I262" s="11">
        <f t="shared" si="13"/>
        <v>1598.9328345169911</v>
      </c>
    </row>
    <row r="263" spans="1:11" x14ac:dyDescent="0.3">
      <c r="A263" s="3">
        <v>46112</v>
      </c>
      <c r="B263" t="s">
        <v>63</v>
      </c>
      <c r="C263" s="7">
        <v>167574490.64503109</v>
      </c>
      <c r="D263" s="5">
        <v>178075932.34347811</v>
      </c>
      <c r="E263" s="5">
        <v>158820272.51093629</v>
      </c>
      <c r="F263" s="5">
        <v>159321981.4656482</v>
      </c>
      <c r="G263" s="5">
        <v>158701966.97944051</v>
      </c>
      <c r="I263" s="11">
        <f t="shared" si="13"/>
        <v>1675.744906450311</v>
      </c>
    </row>
    <row r="264" spans="1:11" x14ac:dyDescent="0.3">
      <c r="A264" s="3">
        <v>46203</v>
      </c>
      <c r="B264" t="s">
        <v>28</v>
      </c>
      <c r="C264" s="7">
        <v>178590225.0289914</v>
      </c>
      <c r="D264" s="5">
        <v>180345193.36900181</v>
      </c>
      <c r="E264" s="5">
        <v>170939947.2070609</v>
      </c>
      <c r="F264" s="5">
        <v>171113083.28533569</v>
      </c>
      <c r="G264" s="5">
        <v>170532818.92218119</v>
      </c>
      <c r="I264" s="11">
        <f t="shared" si="13"/>
        <v>1785.902250289914</v>
      </c>
    </row>
    <row r="265" spans="1:11" x14ac:dyDescent="0.3">
      <c r="A265" s="3">
        <v>46295</v>
      </c>
      <c r="B265" t="s">
        <v>28</v>
      </c>
      <c r="C265" s="7">
        <v>178531871.59848019</v>
      </c>
      <c r="D265" s="5">
        <v>182639391.32887191</v>
      </c>
      <c r="E265" s="5">
        <v>169492667.5012449</v>
      </c>
      <c r="F265" s="5">
        <v>171172905.70970199</v>
      </c>
      <c r="G265" s="5">
        <v>168305719.60356969</v>
      </c>
      <c r="I265" s="11">
        <f t="shared" si="13"/>
        <v>1785.3187159848019</v>
      </c>
    </row>
    <row r="266" spans="1:11" x14ac:dyDescent="0.3">
      <c r="A266" s="3">
        <v>45291</v>
      </c>
      <c r="B266" t="s">
        <v>29</v>
      </c>
      <c r="C266" s="5">
        <v>2433161032.8000002</v>
      </c>
      <c r="D266" s="5">
        <v>2433161032.8000002</v>
      </c>
      <c r="E266" s="5">
        <v>2433161032.8000002</v>
      </c>
      <c r="F266" s="5">
        <v>2433161032.8000002</v>
      </c>
      <c r="G266" s="5">
        <v>2433161032.8000002</v>
      </c>
      <c r="I266" s="11">
        <f t="shared" si="13"/>
        <v>24331.610328000002</v>
      </c>
    </row>
    <row r="267" spans="1:11" x14ac:dyDescent="0.3">
      <c r="A267" s="3">
        <v>45382</v>
      </c>
      <c r="B267" t="s">
        <v>29</v>
      </c>
      <c r="C267" s="5">
        <v>2347795521.9499998</v>
      </c>
      <c r="D267" s="5">
        <v>2347795521.9499998</v>
      </c>
      <c r="E267" s="5">
        <v>2347795521.9499998</v>
      </c>
      <c r="F267" s="5">
        <v>2347795521.9499998</v>
      </c>
      <c r="G267" s="5">
        <v>2347795521.9499998</v>
      </c>
      <c r="I267" s="11">
        <f t="shared" si="13"/>
        <v>23477.9552195</v>
      </c>
    </row>
    <row r="268" spans="1:11" x14ac:dyDescent="0.3">
      <c r="A268" s="3">
        <v>45473</v>
      </c>
      <c r="B268" t="s">
        <v>29</v>
      </c>
      <c r="C268" s="5">
        <v>2531955020.4899998</v>
      </c>
      <c r="D268" s="5">
        <v>2531955020.4899998</v>
      </c>
      <c r="E268" s="5">
        <v>2531955020.4899998</v>
      </c>
      <c r="F268" s="5">
        <v>2531955020.4899998</v>
      </c>
      <c r="G268" s="5">
        <v>2531955020.4899998</v>
      </c>
      <c r="I268" s="11">
        <f t="shared" si="13"/>
        <v>25319.550204899999</v>
      </c>
    </row>
    <row r="269" spans="1:11" x14ac:dyDescent="0.3">
      <c r="A269" s="3">
        <v>45565</v>
      </c>
      <c r="B269" t="s">
        <v>29</v>
      </c>
      <c r="C269" s="5">
        <v>2322956355.6300001</v>
      </c>
      <c r="D269" s="5">
        <v>2322956355.6300001</v>
      </c>
      <c r="E269" s="5">
        <v>2322956355.6300001</v>
      </c>
      <c r="F269" s="5">
        <v>2322956355.6300001</v>
      </c>
      <c r="G269" s="5">
        <v>2322956355.6300001</v>
      </c>
      <c r="I269" s="11">
        <f t="shared" si="13"/>
        <v>23229.5635563</v>
      </c>
    </row>
    <row r="270" spans="1:11" x14ac:dyDescent="0.3">
      <c r="A270" s="3">
        <v>45657</v>
      </c>
      <c r="B270" t="s">
        <v>29</v>
      </c>
      <c r="C270" s="5">
        <v>2700371021.3899999</v>
      </c>
      <c r="D270" s="5">
        <v>2700371021.3899999</v>
      </c>
      <c r="E270" s="5">
        <v>2700371021.3899999</v>
      </c>
      <c r="F270" s="5">
        <v>2700371021.3899999</v>
      </c>
      <c r="G270" s="5">
        <v>2700371021.3899999</v>
      </c>
      <c r="I270" s="11">
        <f t="shared" si="13"/>
        <v>27003.710213899998</v>
      </c>
    </row>
    <row r="271" spans="1:11" x14ac:dyDescent="0.3">
      <c r="A271" s="3">
        <v>45747</v>
      </c>
      <c r="B271" t="s">
        <v>29</v>
      </c>
      <c r="C271" s="5">
        <v>2494285868.0599999</v>
      </c>
      <c r="D271" s="5">
        <v>2494285868.0599999</v>
      </c>
      <c r="E271" s="5">
        <v>2494285868.0599999</v>
      </c>
      <c r="F271" s="5">
        <v>2494285868.0599999</v>
      </c>
      <c r="G271" s="5">
        <v>2494285868.0599999</v>
      </c>
      <c r="I271" s="11">
        <f t="shared" si="13"/>
        <v>24942.858680599998</v>
      </c>
    </row>
    <row r="272" spans="1:11" x14ac:dyDescent="0.3">
      <c r="A272" s="3">
        <v>45838</v>
      </c>
      <c r="B272" t="s">
        <v>29</v>
      </c>
      <c r="C272" s="5">
        <v>2682977392.29</v>
      </c>
      <c r="D272" s="5">
        <v>2682977392.29</v>
      </c>
      <c r="E272" s="5">
        <v>2682977392.29</v>
      </c>
      <c r="F272" s="5">
        <v>2682977392.29</v>
      </c>
      <c r="G272" s="5">
        <v>2682977392.29</v>
      </c>
      <c r="I272" s="11">
        <f t="shared" si="13"/>
        <v>26829.7739229</v>
      </c>
    </row>
    <row r="273" spans="1:12" x14ac:dyDescent="0.3">
      <c r="A273" s="3">
        <v>45930</v>
      </c>
      <c r="B273" t="s">
        <v>103</v>
      </c>
      <c r="C273" s="7">
        <v>2671694201.7145491</v>
      </c>
      <c r="D273" s="5">
        <v>1928612485.0590119</v>
      </c>
      <c r="E273" s="5">
        <v>2594865561.4001331</v>
      </c>
      <c r="F273" s="5">
        <v>2390743673.992197</v>
      </c>
      <c r="G273" s="5">
        <v>2637596024.6920161</v>
      </c>
      <c r="I273" s="11">
        <f t="shared" si="13"/>
        <v>26716.942017145491</v>
      </c>
    </row>
    <row r="274" spans="1:12" x14ac:dyDescent="0.3">
      <c r="A274" s="3">
        <v>46022</v>
      </c>
      <c r="B274" t="s">
        <v>29</v>
      </c>
      <c r="C274" s="7">
        <v>2754685375.6248722</v>
      </c>
      <c r="D274" s="5">
        <v>1926277732.778234</v>
      </c>
      <c r="E274" s="5">
        <v>2984613732.6628718</v>
      </c>
      <c r="F274" s="5">
        <v>2669790742.2242651</v>
      </c>
      <c r="G274" s="5">
        <v>2636436228.223671</v>
      </c>
      <c r="I274" s="11">
        <f t="shared" si="13"/>
        <v>27546.853756248722</v>
      </c>
    </row>
    <row r="275" spans="1:12" x14ac:dyDescent="0.3">
      <c r="A275" s="3">
        <v>46112</v>
      </c>
      <c r="B275" t="s">
        <v>29</v>
      </c>
      <c r="C275" s="7">
        <v>2607135847.7954712</v>
      </c>
      <c r="D275" s="5">
        <v>1923993735.9818211</v>
      </c>
      <c r="E275" s="5">
        <v>2805768701.4656892</v>
      </c>
      <c r="F275" s="5">
        <v>2547681246.925354</v>
      </c>
      <c r="G275" s="5">
        <v>2635276431.7553258</v>
      </c>
      <c r="I275" s="11">
        <f t="shared" si="13"/>
        <v>26071.358477954713</v>
      </c>
    </row>
    <row r="276" spans="1:12" x14ac:dyDescent="0.3">
      <c r="A276" s="3">
        <v>46203</v>
      </c>
      <c r="B276" t="s">
        <v>29</v>
      </c>
      <c r="C276" s="7">
        <v>2802756275.9921818</v>
      </c>
      <c r="D276" s="5">
        <v>1921684361.4432261</v>
      </c>
      <c r="E276" s="5">
        <v>3049717694.1055179</v>
      </c>
      <c r="F276" s="5">
        <v>2763204133.9791989</v>
      </c>
      <c r="G276" s="5">
        <v>2634116635.2869811</v>
      </c>
      <c r="I276" s="11">
        <f t="shared" si="13"/>
        <v>28027.562759921817</v>
      </c>
    </row>
    <row r="277" spans="1:12" x14ac:dyDescent="0.3">
      <c r="A277" s="3">
        <v>46295</v>
      </c>
      <c r="B277" t="s">
        <v>29</v>
      </c>
      <c r="C277" s="7">
        <v>2789800662.4852152</v>
      </c>
      <c r="D277" s="5">
        <v>1919349609.1624489</v>
      </c>
      <c r="E277" s="5">
        <v>2888313749.3399181</v>
      </c>
      <c r="F277" s="5">
        <v>2502684028.8488221</v>
      </c>
      <c r="G277" s="5">
        <v>2632956838.8186359</v>
      </c>
      <c r="I277" s="11">
        <f t="shared" si="13"/>
        <v>27898.006624852151</v>
      </c>
    </row>
    <row r="278" spans="1:12" x14ac:dyDescent="0.3">
      <c r="A278" s="3">
        <v>45291</v>
      </c>
      <c r="B278" t="s">
        <v>30</v>
      </c>
      <c r="C278" s="5">
        <v>1516121251.45</v>
      </c>
      <c r="D278" s="5">
        <v>1516121251.45</v>
      </c>
      <c r="E278" s="5">
        <v>1516121251.45</v>
      </c>
      <c r="F278" s="5">
        <v>1516121251.45</v>
      </c>
      <c r="G278" s="5">
        <v>1516121251.45</v>
      </c>
      <c r="I278" s="11">
        <f t="shared" si="13"/>
        <v>15161.212514500001</v>
      </c>
      <c r="J278" s="13">
        <f>(C273+F273)/2</f>
        <v>2531218937.8533731</v>
      </c>
      <c r="K278" s="12">
        <f>J278/100000</f>
        <v>25312.189378533731</v>
      </c>
    </row>
    <row r="279" spans="1:12" x14ac:dyDescent="0.3">
      <c r="A279" s="3">
        <v>45382</v>
      </c>
      <c r="B279" t="s">
        <v>30</v>
      </c>
      <c r="C279" s="5">
        <v>1667489494.4300001</v>
      </c>
      <c r="D279" s="5">
        <v>1667489494.4300001</v>
      </c>
      <c r="E279" s="5">
        <v>1667489494.4300001</v>
      </c>
      <c r="F279" s="5">
        <v>1667489494.4300001</v>
      </c>
      <c r="G279" s="5">
        <v>1667489494.4300001</v>
      </c>
      <c r="I279" s="11">
        <f t="shared" si="13"/>
        <v>16674.894944300002</v>
      </c>
      <c r="J279" s="13">
        <f>(C274+F274)/2</f>
        <v>2712238058.9245687</v>
      </c>
      <c r="K279" s="12">
        <f t="shared" ref="K279:K281" si="17">J279/100000</f>
        <v>27122.380589245688</v>
      </c>
    </row>
    <row r="280" spans="1:12" x14ac:dyDescent="0.3">
      <c r="A280" s="3">
        <v>45473</v>
      </c>
      <c r="B280" t="s">
        <v>30</v>
      </c>
      <c r="C280" s="5">
        <v>1852492782.5</v>
      </c>
      <c r="D280" s="5">
        <v>1852492782.5</v>
      </c>
      <c r="E280" s="5">
        <v>1852492782.5</v>
      </c>
      <c r="F280" s="5">
        <v>1852492782.5</v>
      </c>
      <c r="G280" s="5">
        <v>1852492782.5</v>
      </c>
      <c r="I280" s="11">
        <f t="shared" si="13"/>
        <v>18524.927824999999</v>
      </c>
      <c r="J280" s="13">
        <f>(C275+F275)/2</f>
        <v>2577408547.3604126</v>
      </c>
      <c r="K280" s="12">
        <f t="shared" si="17"/>
        <v>25774.085473604126</v>
      </c>
    </row>
    <row r="281" spans="1:12" x14ac:dyDescent="0.3">
      <c r="A281" s="3">
        <v>45565</v>
      </c>
      <c r="B281" t="s">
        <v>30</v>
      </c>
      <c r="C281" s="5">
        <v>1827889500.71</v>
      </c>
      <c r="D281" s="5">
        <v>1827889500.71</v>
      </c>
      <c r="E281" s="5">
        <v>1827889500.71</v>
      </c>
      <c r="F281" s="5">
        <v>1827889500.71</v>
      </c>
      <c r="G281" s="5">
        <v>1827889500.71</v>
      </c>
      <c r="I281" s="11">
        <f t="shared" si="13"/>
        <v>18278.8950071</v>
      </c>
      <c r="J281" s="13">
        <f>(C276+F276)/2</f>
        <v>2782980204.9856901</v>
      </c>
      <c r="K281" s="12">
        <f t="shared" si="17"/>
        <v>27829.802049856902</v>
      </c>
      <c r="L281" s="12">
        <f>SUM(K279:K281)</f>
        <v>80726.268112706719</v>
      </c>
    </row>
    <row r="282" spans="1:12" x14ac:dyDescent="0.3">
      <c r="A282" s="3">
        <v>45657</v>
      </c>
      <c r="B282" t="s">
        <v>30</v>
      </c>
      <c r="C282" s="5">
        <v>1807132008.3699999</v>
      </c>
      <c r="D282" s="5">
        <v>1807132008.3699999</v>
      </c>
      <c r="E282" s="5">
        <v>1807132008.3699999</v>
      </c>
      <c r="F282" s="5">
        <v>1807132008.3699999</v>
      </c>
      <c r="G282" s="5">
        <v>1807132008.3699999</v>
      </c>
      <c r="I282" s="11">
        <f t="shared" si="13"/>
        <v>18071.3200837</v>
      </c>
    </row>
    <row r="283" spans="1:12" x14ac:dyDescent="0.3">
      <c r="A283" s="3">
        <v>45747</v>
      </c>
      <c r="B283" t="s">
        <v>30</v>
      </c>
      <c r="C283" s="5">
        <v>1908229062.9300001</v>
      </c>
      <c r="D283" s="5">
        <v>1908229062.9300001</v>
      </c>
      <c r="E283" s="5">
        <v>1908229062.9300001</v>
      </c>
      <c r="F283" s="5">
        <v>1908229062.9300001</v>
      </c>
      <c r="G283" s="5">
        <v>1908229062.9300001</v>
      </c>
      <c r="I283" s="11">
        <f t="shared" si="13"/>
        <v>19082.290629300001</v>
      </c>
    </row>
    <row r="284" spans="1:12" x14ac:dyDescent="0.3">
      <c r="A284" s="3">
        <v>45838</v>
      </c>
      <c r="B284" t="s">
        <v>30</v>
      </c>
      <c r="C284" s="5">
        <v>1773366505.9100001</v>
      </c>
      <c r="D284" s="5">
        <v>1773366505.9100001</v>
      </c>
      <c r="E284" s="5">
        <v>1773366505.9100001</v>
      </c>
      <c r="F284" s="5">
        <v>1773366505.9100001</v>
      </c>
      <c r="G284" s="5">
        <v>1773366505.9100001</v>
      </c>
      <c r="I284" s="11">
        <f t="shared" si="13"/>
        <v>17733.6650591</v>
      </c>
    </row>
    <row r="285" spans="1:12" x14ac:dyDescent="0.3">
      <c r="A285" s="3">
        <v>45930</v>
      </c>
      <c r="B285" t="s">
        <v>64</v>
      </c>
      <c r="C285" s="7">
        <v>1773080337.796418</v>
      </c>
      <c r="D285" s="5">
        <v>2003243923.7662499</v>
      </c>
      <c r="E285" s="5">
        <v>1521540102.4940121</v>
      </c>
      <c r="F285" s="5">
        <v>1562642151.6802039</v>
      </c>
      <c r="G285" s="5">
        <v>1715994443.292989</v>
      </c>
      <c r="I285" s="11">
        <f t="shared" si="13"/>
        <v>17730.803377964181</v>
      </c>
    </row>
    <row r="286" spans="1:12" x14ac:dyDescent="0.3">
      <c r="A286" s="3">
        <v>46022</v>
      </c>
      <c r="B286" t="s">
        <v>30</v>
      </c>
      <c r="C286" s="7">
        <v>1782476884.7708869</v>
      </c>
      <c r="D286" s="5">
        <v>2028010820.2068529</v>
      </c>
      <c r="E286" s="5">
        <v>1310160072.7255609</v>
      </c>
      <c r="F286" s="5">
        <v>1589207755.7418771</v>
      </c>
      <c r="G286" s="5">
        <v>1679277014.696727</v>
      </c>
      <c r="I286" s="11">
        <f t="shared" si="13"/>
        <v>17824.76884770887</v>
      </c>
    </row>
    <row r="287" spans="1:12" x14ac:dyDescent="0.3">
      <c r="A287" s="3">
        <v>46112</v>
      </c>
      <c r="B287" t="s">
        <v>30</v>
      </c>
      <c r="C287" s="7">
        <v>1903184692.464592</v>
      </c>
      <c r="D287" s="5">
        <v>2052239305.855269</v>
      </c>
      <c r="E287" s="5">
        <v>1314169296.077179</v>
      </c>
      <c r="F287" s="5">
        <v>1778517194.438426</v>
      </c>
      <c r="G287" s="5">
        <v>1813037046.41611</v>
      </c>
      <c r="I287" s="11">
        <f t="shared" si="13"/>
        <v>19031.846924645921</v>
      </c>
    </row>
    <row r="288" spans="1:12" x14ac:dyDescent="0.3">
      <c r="A288" s="3">
        <v>46203</v>
      </c>
      <c r="B288" t="s">
        <v>30</v>
      </c>
      <c r="C288" s="7">
        <v>1954316358.02861</v>
      </c>
      <c r="D288" s="5">
        <v>2076736996.8997791</v>
      </c>
      <c r="E288" s="5">
        <v>1267719535.033155</v>
      </c>
      <c r="F288" s="5">
        <v>1763587994.8305299</v>
      </c>
      <c r="G288" s="5">
        <v>1823745762.3246269</v>
      </c>
      <c r="I288" s="11">
        <f t="shared" si="13"/>
        <v>19543.163580286098</v>
      </c>
    </row>
    <row r="289" spans="1:12" x14ac:dyDescent="0.3">
      <c r="A289" s="3">
        <v>46295</v>
      </c>
      <c r="B289" t="s">
        <v>64</v>
      </c>
      <c r="C289" s="7">
        <v>1953099641.5621541</v>
      </c>
      <c r="D289" s="5">
        <v>2101503893.3403821</v>
      </c>
      <c r="E289" s="5">
        <v>1184802550.623055</v>
      </c>
      <c r="G289" s="5">
        <v>1764382727.132829</v>
      </c>
      <c r="I289" s="11">
        <f t="shared" si="13"/>
        <v>19530.996415621539</v>
      </c>
    </row>
    <row r="290" spans="1:12" x14ac:dyDescent="0.3">
      <c r="A290" s="3">
        <v>45291</v>
      </c>
      <c r="B290" t="s">
        <v>31</v>
      </c>
      <c r="C290" s="5">
        <v>141373066.52000001</v>
      </c>
      <c r="D290" s="5">
        <v>141373066.52000001</v>
      </c>
      <c r="E290" s="5">
        <v>141373066.52000001</v>
      </c>
      <c r="F290" s="5">
        <v>141373066.52000001</v>
      </c>
      <c r="G290" s="5">
        <v>141373066.52000001</v>
      </c>
      <c r="I290" s="11">
        <f t="shared" si="13"/>
        <v>1413.7306652000002</v>
      </c>
      <c r="J290" s="13">
        <f>(C285+F285)/2</f>
        <v>1667861244.7383108</v>
      </c>
      <c r="K290" s="12">
        <f>J290/100000</f>
        <v>16678.612447383108</v>
      </c>
    </row>
    <row r="291" spans="1:12" x14ac:dyDescent="0.3">
      <c r="A291" s="3">
        <v>45382</v>
      </c>
      <c r="B291" t="s">
        <v>31</v>
      </c>
      <c r="C291" s="5">
        <v>137270574.34</v>
      </c>
      <c r="D291" s="5">
        <v>137270574.34</v>
      </c>
      <c r="E291" s="5">
        <v>137270574.34</v>
      </c>
      <c r="F291" s="5">
        <v>137270574.34</v>
      </c>
      <c r="G291" s="5">
        <v>137270574.34</v>
      </c>
      <c r="I291" s="11">
        <f t="shared" si="13"/>
        <v>1372.7057434000001</v>
      </c>
      <c r="J291" s="13">
        <f>(C286+F286)/2</f>
        <v>1685842320.256382</v>
      </c>
      <c r="K291" s="12">
        <f t="shared" ref="K291:K293" si="18">J291/100000</f>
        <v>16858.423202563819</v>
      </c>
    </row>
    <row r="292" spans="1:12" x14ac:dyDescent="0.3">
      <c r="A292" s="3">
        <v>45473</v>
      </c>
      <c r="B292" t="s">
        <v>31</v>
      </c>
      <c r="C292" s="5">
        <v>138272896.13</v>
      </c>
      <c r="D292" s="5">
        <v>138272896.13</v>
      </c>
      <c r="E292" s="5">
        <v>138272896.13</v>
      </c>
      <c r="F292" s="5">
        <v>138272896.13</v>
      </c>
      <c r="G292" s="5">
        <v>138272896.13</v>
      </c>
      <c r="I292" s="11">
        <f t="shared" ref="I292:I355" si="19">C292/100000</f>
        <v>1382.7289613</v>
      </c>
      <c r="J292" s="13">
        <f>(C287+F287)/2</f>
        <v>1840850943.451509</v>
      </c>
      <c r="K292" s="12">
        <f t="shared" si="18"/>
        <v>18408.50943451509</v>
      </c>
    </row>
    <row r="293" spans="1:12" x14ac:dyDescent="0.3">
      <c r="A293" s="3">
        <v>45565</v>
      </c>
      <c r="B293" t="s">
        <v>31</v>
      </c>
      <c r="C293" s="5">
        <v>136546408.03999999</v>
      </c>
      <c r="D293" s="5">
        <v>136546408.03999999</v>
      </c>
      <c r="E293" s="5">
        <v>136546408.03999999</v>
      </c>
      <c r="F293" s="5">
        <v>136546408.03999999</v>
      </c>
      <c r="G293" s="5">
        <v>136546408.03999999</v>
      </c>
      <c r="I293" s="11">
        <f t="shared" si="19"/>
        <v>1365.4640803999998</v>
      </c>
      <c r="J293" s="13">
        <f>(C288+F288)/2</f>
        <v>1858952176.42957</v>
      </c>
      <c r="K293" s="12">
        <f t="shared" si="18"/>
        <v>18589.5217642957</v>
      </c>
      <c r="L293" s="12">
        <f>SUM(K291:K293)</f>
        <v>53856.454401374605</v>
      </c>
    </row>
    <row r="294" spans="1:12" x14ac:dyDescent="0.3">
      <c r="A294" s="3">
        <v>45657</v>
      </c>
      <c r="B294" t="s">
        <v>31</v>
      </c>
      <c r="C294" s="5">
        <v>185319803.65000001</v>
      </c>
      <c r="D294" s="5">
        <v>185319803.65000001</v>
      </c>
      <c r="E294" s="5">
        <v>185319803.65000001</v>
      </c>
      <c r="F294" s="5">
        <v>185319803.65000001</v>
      </c>
      <c r="G294" s="5">
        <v>185319803.65000001</v>
      </c>
      <c r="I294" s="11">
        <f t="shared" si="19"/>
        <v>1853.1980365000002</v>
      </c>
    </row>
    <row r="295" spans="1:12" x14ac:dyDescent="0.3">
      <c r="A295" s="3">
        <v>45747</v>
      </c>
      <c r="B295" t="s">
        <v>31</v>
      </c>
      <c r="C295" s="5">
        <v>172366177.69999999</v>
      </c>
      <c r="D295" s="5">
        <v>172366177.69999999</v>
      </c>
      <c r="E295" s="5">
        <v>172366177.69999999</v>
      </c>
      <c r="F295" s="5">
        <v>172366177.69999999</v>
      </c>
      <c r="G295" s="5">
        <v>172366177.69999999</v>
      </c>
      <c r="I295" s="11">
        <f t="shared" si="19"/>
        <v>1723.6617769999998</v>
      </c>
    </row>
    <row r="296" spans="1:12" x14ac:dyDescent="0.3">
      <c r="A296" s="3">
        <v>45838</v>
      </c>
      <c r="B296" t="s">
        <v>31</v>
      </c>
      <c r="C296" s="5">
        <v>193322131.28</v>
      </c>
      <c r="D296" s="5">
        <v>193322131.28</v>
      </c>
      <c r="E296" s="5">
        <v>193322131.28</v>
      </c>
      <c r="F296" s="5">
        <v>193322131.28</v>
      </c>
      <c r="G296" s="5">
        <v>193322131.28</v>
      </c>
      <c r="I296" s="11">
        <f t="shared" si="19"/>
        <v>1933.2213128000001</v>
      </c>
    </row>
    <row r="297" spans="1:12" x14ac:dyDescent="0.3">
      <c r="A297" s="3">
        <v>45930</v>
      </c>
      <c r="B297" t="s">
        <v>31</v>
      </c>
      <c r="C297" s="5">
        <v>188213077.5487335</v>
      </c>
      <c r="D297" s="5">
        <v>146525554.04412609</v>
      </c>
      <c r="E297" s="5">
        <v>179875784.8708581</v>
      </c>
      <c r="F297" s="5">
        <v>184368578.87842759</v>
      </c>
      <c r="G297" s="5">
        <v>178865606.46931809</v>
      </c>
      <c r="I297" s="11">
        <f t="shared" si="19"/>
        <v>1882.1307754873351</v>
      </c>
    </row>
    <row r="298" spans="1:12" x14ac:dyDescent="0.3">
      <c r="A298" s="3">
        <v>46022</v>
      </c>
      <c r="B298" t="s">
        <v>31</v>
      </c>
      <c r="C298" s="5">
        <v>214059279.88559169</v>
      </c>
      <c r="D298" s="5">
        <v>148889432.50267789</v>
      </c>
      <c r="E298" s="5">
        <v>216167090.84164619</v>
      </c>
      <c r="F298" s="5">
        <v>222099895.57972071</v>
      </c>
      <c r="G298" s="5">
        <v>214709081.50395641</v>
      </c>
      <c r="I298" s="11">
        <f t="shared" si="19"/>
        <v>2140.592798855917</v>
      </c>
    </row>
    <row r="299" spans="1:12" x14ac:dyDescent="0.3">
      <c r="A299" s="3">
        <v>46112</v>
      </c>
      <c r="B299" t="s">
        <v>31</v>
      </c>
      <c r="C299" s="5">
        <v>212513607.77161369</v>
      </c>
      <c r="D299" s="5">
        <v>151201922.29908729</v>
      </c>
      <c r="E299" s="5">
        <v>211370755.09932759</v>
      </c>
      <c r="F299" s="5">
        <v>215115018.5123353</v>
      </c>
      <c r="G299" s="5">
        <v>209465593.55727011</v>
      </c>
      <c r="I299" s="11">
        <f t="shared" si="19"/>
        <v>2125.1360777161367</v>
      </c>
    </row>
    <row r="300" spans="1:12" x14ac:dyDescent="0.3">
      <c r="A300" s="3">
        <v>46203</v>
      </c>
      <c r="B300" t="s">
        <v>31</v>
      </c>
      <c r="C300" s="5">
        <v>216134779.24717259</v>
      </c>
      <c r="D300" s="5">
        <v>153540106.42656791</v>
      </c>
      <c r="E300" s="5">
        <v>217759186.7780399</v>
      </c>
      <c r="F300" s="5">
        <v>221339987.25452831</v>
      </c>
      <c r="G300" s="5">
        <v>195902285.9925938</v>
      </c>
      <c r="I300" s="11">
        <f t="shared" si="19"/>
        <v>2161.3477924717258</v>
      </c>
    </row>
    <row r="301" spans="1:12" x14ac:dyDescent="0.3">
      <c r="A301" s="3">
        <v>46295</v>
      </c>
      <c r="B301" t="s">
        <v>65</v>
      </c>
      <c r="C301" s="5">
        <v>216169902.5422141</v>
      </c>
      <c r="D301" s="5">
        <v>155903984.88511959</v>
      </c>
      <c r="E301" s="5">
        <v>208613871.9558228</v>
      </c>
      <c r="F301" s="5">
        <v>215393998.52710691</v>
      </c>
      <c r="G301" s="5">
        <v>183065379.35173199</v>
      </c>
      <c r="I301" s="11">
        <f t="shared" si="19"/>
        <v>2161.6990254221409</v>
      </c>
    </row>
    <row r="302" spans="1:12" x14ac:dyDescent="0.3">
      <c r="A302" s="3">
        <v>45291</v>
      </c>
      <c r="B302" t="s">
        <v>32</v>
      </c>
      <c r="C302" s="5">
        <v>91932418.219999999</v>
      </c>
      <c r="D302" s="5">
        <v>91932418.219999999</v>
      </c>
      <c r="E302" s="5">
        <v>91932418.219999999</v>
      </c>
      <c r="F302" s="5">
        <v>91932418.219999999</v>
      </c>
      <c r="G302" s="5">
        <v>91932418.219999999</v>
      </c>
      <c r="I302" s="11">
        <f t="shared" si="19"/>
        <v>919.3241822</v>
      </c>
    </row>
    <row r="303" spans="1:12" x14ac:dyDescent="0.3">
      <c r="A303" s="3">
        <v>45382</v>
      </c>
      <c r="B303" t="s">
        <v>32</v>
      </c>
      <c r="C303" s="5">
        <v>66821053.25</v>
      </c>
      <c r="D303" s="5">
        <v>66821053.25</v>
      </c>
      <c r="E303" s="5">
        <v>66821053.25</v>
      </c>
      <c r="F303" s="5">
        <v>66821053.25</v>
      </c>
      <c r="G303" s="5">
        <v>66821053.25</v>
      </c>
      <c r="I303" s="11">
        <f t="shared" si="19"/>
        <v>668.2105325</v>
      </c>
    </row>
    <row r="304" spans="1:12" x14ac:dyDescent="0.3">
      <c r="A304" s="3">
        <v>45473</v>
      </c>
      <c r="B304" t="s">
        <v>32</v>
      </c>
      <c r="C304" s="5">
        <v>109359527.37</v>
      </c>
      <c r="D304" s="5">
        <v>109359527.37</v>
      </c>
      <c r="E304" s="5">
        <v>109359527.37</v>
      </c>
      <c r="F304" s="5">
        <v>109359527.37</v>
      </c>
      <c r="G304" s="5">
        <v>109359527.37</v>
      </c>
      <c r="I304" s="11">
        <f t="shared" si="19"/>
        <v>1093.5952737</v>
      </c>
    </row>
    <row r="305" spans="1:11" x14ac:dyDescent="0.3">
      <c r="A305" s="3">
        <v>45565</v>
      </c>
      <c r="B305" t="s">
        <v>32</v>
      </c>
      <c r="C305" s="5">
        <v>65636783.479999997</v>
      </c>
      <c r="D305" s="5">
        <v>65636783.479999997</v>
      </c>
      <c r="E305" s="5">
        <v>65636783.479999997</v>
      </c>
      <c r="F305" s="5">
        <v>65636783.479999997</v>
      </c>
      <c r="G305" s="5">
        <v>65636783.479999997</v>
      </c>
      <c r="I305" s="11">
        <f t="shared" si="19"/>
        <v>656.36783479999997</v>
      </c>
    </row>
    <row r="306" spans="1:11" x14ac:dyDescent="0.3">
      <c r="A306" s="3">
        <v>45657</v>
      </c>
      <c r="B306" t="s">
        <v>32</v>
      </c>
      <c r="C306" s="5">
        <v>98409490.659999996</v>
      </c>
      <c r="D306" s="5">
        <v>98409490.659999996</v>
      </c>
      <c r="E306" s="5">
        <v>98409490.659999996</v>
      </c>
      <c r="F306" s="5">
        <v>98409490.659999996</v>
      </c>
      <c r="G306" s="5">
        <v>98409490.659999996</v>
      </c>
      <c r="I306" s="11">
        <f t="shared" si="19"/>
        <v>984.09490659999994</v>
      </c>
    </row>
    <row r="307" spans="1:11" x14ac:dyDescent="0.3">
      <c r="A307" s="3">
        <v>45747</v>
      </c>
      <c r="B307" t="s">
        <v>32</v>
      </c>
      <c r="C307" s="5">
        <v>86966867.489999995</v>
      </c>
      <c r="D307" s="5">
        <v>86966867.489999995</v>
      </c>
      <c r="E307" s="5">
        <v>86966867.489999995</v>
      </c>
      <c r="F307" s="5">
        <v>86966867.489999995</v>
      </c>
      <c r="G307" s="5">
        <v>86966867.489999995</v>
      </c>
      <c r="I307" s="11">
        <f t="shared" si="19"/>
        <v>869.66867489999993</v>
      </c>
    </row>
    <row r="308" spans="1:11" x14ac:dyDescent="0.3">
      <c r="A308" s="3">
        <v>45838</v>
      </c>
      <c r="B308" t="s">
        <v>32</v>
      </c>
      <c r="C308" s="5">
        <v>110574314.90000001</v>
      </c>
      <c r="D308" s="5">
        <v>110574314.90000001</v>
      </c>
      <c r="E308" s="5">
        <v>110574314.90000001</v>
      </c>
      <c r="F308" s="5">
        <v>110574314.90000001</v>
      </c>
      <c r="G308" s="5">
        <v>110574314.90000001</v>
      </c>
      <c r="I308" s="11">
        <f t="shared" si="19"/>
        <v>1105.7431490000001</v>
      </c>
    </row>
    <row r="309" spans="1:11" x14ac:dyDescent="0.3">
      <c r="A309" s="3">
        <v>45930</v>
      </c>
      <c r="B309" t="s">
        <v>66</v>
      </c>
      <c r="C309" s="5">
        <v>82793263.937154517</v>
      </c>
      <c r="D309" s="5">
        <v>83174083.105068982</v>
      </c>
      <c r="E309" s="7">
        <v>79540798.90140067</v>
      </c>
      <c r="F309" s="5">
        <v>84138666.160385504</v>
      </c>
      <c r="G309" s="5">
        <v>72552523.908872381</v>
      </c>
      <c r="I309" s="11">
        <f t="shared" si="19"/>
        <v>827.93263937154518</v>
      </c>
    </row>
    <row r="310" spans="1:11" x14ac:dyDescent="0.3">
      <c r="A310" s="3">
        <v>46022</v>
      </c>
      <c r="B310" t="s">
        <v>32</v>
      </c>
      <c r="C310" s="5">
        <v>101972978.0110168</v>
      </c>
      <c r="D310" s="5">
        <v>84039483.308359087</v>
      </c>
      <c r="E310" s="7">
        <v>103618889.8936495</v>
      </c>
      <c r="F310" s="5">
        <v>108920357.8524963</v>
      </c>
      <c r="G310" s="5">
        <v>93127480.042336285</v>
      </c>
      <c r="I310" s="11">
        <f t="shared" si="19"/>
        <v>1019.729780110168</v>
      </c>
    </row>
    <row r="311" spans="1:11" x14ac:dyDescent="0.3">
      <c r="A311" s="3">
        <v>46112</v>
      </c>
      <c r="B311" t="s">
        <v>32</v>
      </c>
      <c r="C311" s="5">
        <v>95083909.256705046</v>
      </c>
      <c r="D311" s="5">
        <v>84886070.463751554</v>
      </c>
      <c r="E311" s="7">
        <v>93767381.984225065</v>
      </c>
      <c r="F311" s="5">
        <v>91606928.786565244</v>
      </c>
      <c r="G311" s="5">
        <v>80207181.785695925</v>
      </c>
      <c r="I311" s="11">
        <f t="shared" si="19"/>
        <v>950.83909256705044</v>
      </c>
    </row>
    <row r="312" spans="1:11" x14ac:dyDescent="0.3">
      <c r="A312" s="3">
        <v>46203</v>
      </c>
      <c r="B312" t="s">
        <v>32</v>
      </c>
      <c r="C312" s="5">
        <v>121858752.1190376</v>
      </c>
      <c r="D312" s="5">
        <v>85742064.143092841</v>
      </c>
      <c r="E312" s="7">
        <v>121527570.90318041</v>
      </c>
      <c r="F312" s="5">
        <v>124847509.1613052</v>
      </c>
      <c r="G312" s="5">
        <v>117446557.9126673</v>
      </c>
      <c r="I312" s="11">
        <f t="shared" si="19"/>
        <v>1218.587521190376</v>
      </c>
    </row>
    <row r="313" spans="1:11" x14ac:dyDescent="0.3">
      <c r="A313" s="3">
        <v>46295</v>
      </c>
      <c r="B313" t="s">
        <v>66</v>
      </c>
      <c r="C313" s="5">
        <v>92472245.237249553</v>
      </c>
      <c r="D313" s="5">
        <v>86607464.346382931</v>
      </c>
      <c r="E313" s="7">
        <v>87000064.946450621</v>
      </c>
      <c r="F313" s="5">
        <v>89261991.400777623</v>
      </c>
      <c r="G313" s="5">
        <v>73814627.706498772</v>
      </c>
      <c r="I313" s="11">
        <f t="shared" si="19"/>
        <v>924.72245237249558</v>
      </c>
    </row>
    <row r="314" spans="1:11" x14ac:dyDescent="0.3">
      <c r="A314" s="3">
        <v>45291</v>
      </c>
      <c r="B314" t="s">
        <v>67</v>
      </c>
      <c r="C314" s="5">
        <v>91736915.859999999</v>
      </c>
      <c r="D314" s="5">
        <v>91736915.859999999</v>
      </c>
      <c r="E314" s="5">
        <v>91736915.859999999</v>
      </c>
      <c r="F314" s="5">
        <v>91736915.859999999</v>
      </c>
      <c r="G314" s="5">
        <v>91736915.859999999</v>
      </c>
      <c r="I314" s="11">
        <f t="shared" si="19"/>
        <v>917.36915859999999</v>
      </c>
      <c r="J314" s="13">
        <f>(C309+F309)/2</f>
        <v>83465965.04877001</v>
      </c>
      <c r="K314" s="12">
        <f>J314/100000</f>
        <v>834.65965048770011</v>
      </c>
    </row>
    <row r="315" spans="1:11" x14ac:dyDescent="0.3">
      <c r="A315" s="3">
        <v>45382</v>
      </c>
      <c r="B315" t="s">
        <v>33</v>
      </c>
      <c r="C315" s="5">
        <v>87015822.790000007</v>
      </c>
      <c r="D315" s="5">
        <v>87015822.790000007</v>
      </c>
      <c r="E315" s="5">
        <v>87015822.790000007</v>
      </c>
      <c r="F315" s="5">
        <v>87015822.790000007</v>
      </c>
      <c r="G315" s="5">
        <v>87015822.790000007</v>
      </c>
      <c r="I315" s="11">
        <f t="shared" si="19"/>
        <v>870.15822790000004</v>
      </c>
      <c r="J315" s="13">
        <f>(C310+F310)/2</f>
        <v>105446667.93175656</v>
      </c>
      <c r="K315" s="12">
        <f t="shared" ref="K315:K318" si="20">J315/100000</f>
        <v>1054.4666793175656</v>
      </c>
    </row>
    <row r="316" spans="1:11" x14ac:dyDescent="0.3">
      <c r="A316" s="3">
        <v>45473</v>
      </c>
      <c r="B316" t="s">
        <v>33</v>
      </c>
      <c r="C316" s="5">
        <v>99889538.299999997</v>
      </c>
      <c r="D316" s="5">
        <v>99889538.299999997</v>
      </c>
      <c r="E316" s="5">
        <v>99889538.299999997</v>
      </c>
      <c r="F316" s="5">
        <v>99889538.299999997</v>
      </c>
      <c r="G316" s="5">
        <v>99889538.299999997</v>
      </c>
      <c r="I316" s="11">
        <f t="shared" si="19"/>
        <v>998.89538299999992</v>
      </c>
      <c r="J316" s="13">
        <f>(C311+F311)/2</f>
        <v>93345419.021635145</v>
      </c>
      <c r="K316" s="12">
        <f t="shared" si="20"/>
        <v>933.45419021635144</v>
      </c>
    </row>
    <row r="317" spans="1:11" x14ac:dyDescent="0.3">
      <c r="A317" s="3">
        <v>45565</v>
      </c>
      <c r="B317" t="s">
        <v>33</v>
      </c>
      <c r="C317" s="5">
        <v>104920957.59999999</v>
      </c>
      <c r="D317" s="5">
        <v>104920957.59999999</v>
      </c>
      <c r="E317" s="5">
        <v>104920957.59999999</v>
      </c>
      <c r="F317" s="5">
        <v>104920957.59999999</v>
      </c>
      <c r="G317" s="5">
        <v>104920957.59999999</v>
      </c>
      <c r="I317" s="11">
        <f t="shared" si="19"/>
        <v>1049.209576</v>
      </c>
      <c r="J317" s="13">
        <f>(C312+F312)/2</f>
        <v>123353130.64017141</v>
      </c>
      <c r="K317" s="12">
        <f t="shared" si="20"/>
        <v>1233.5313064017141</v>
      </c>
    </row>
    <row r="318" spans="1:11" x14ac:dyDescent="0.3">
      <c r="A318" s="3">
        <v>45657</v>
      </c>
      <c r="B318" t="s">
        <v>33</v>
      </c>
      <c r="C318" s="5">
        <v>136498905.97999999</v>
      </c>
      <c r="D318" s="5">
        <v>136498905.97999999</v>
      </c>
      <c r="E318" s="5">
        <v>136498905.97999999</v>
      </c>
      <c r="F318" s="5">
        <v>136498905.97999999</v>
      </c>
      <c r="G318" s="5">
        <v>136498905.97999999</v>
      </c>
      <c r="I318" s="11">
        <f t="shared" si="19"/>
        <v>1364.9890597999999</v>
      </c>
      <c r="J318" s="13">
        <f>(C313+F313)/2</f>
        <v>90867118.319013596</v>
      </c>
      <c r="K318" s="12">
        <f t="shared" si="20"/>
        <v>908.67118319013593</v>
      </c>
    </row>
    <row r="319" spans="1:11" x14ac:dyDescent="0.3">
      <c r="A319" s="3">
        <v>45747</v>
      </c>
      <c r="B319" t="s">
        <v>33</v>
      </c>
      <c r="C319" s="5">
        <v>97721389.549999997</v>
      </c>
      <c r="D319" s="5">
        <v>97721389.549999997</v>
      </c>
      <c r="E319" s="5">
        <v>97721389.549999997</v>
      </c>
      <c r="F319" s="5">
        <v>97721389.549999997</v>
      </c>
      <c r="G319" s="5">
        <v>97721389.549999997</v>
      </c>
      <c r="I319" s="11">
        <f t="shared" si="19"/>
        <v>977.21389549999992</v>
      </c>
    </row>
    <row r="320" spans="1:11" x14ac:dyDescent="0.3">
      <c r="A320" s="3">
        <v>45838</v>
      </c>
      <c r="B320" t="s">
        <v>33</v>
      </c>
      <c r="C320" s="5">
        <v>104502252.94</v>
      </c>
      <c r="D320" s="5">
        <v>104502252.94</v>
      </c>
      <c r="E320" s="5">
        <v>104502252.94</v>
      </c>
      <c r="F320" s="5">
        <v>104502252.94</v>
      </c>
      <c r="G320" s="5">
        <v>104502252.94</v>
      </c>
      <c r="I320" s="11">
        <f t="shared" si="19"/>
        <v>1045.0225293999999</v>
      </c>
    </row>
    <row r="321" spans="1:12" x14ac:dyDescent="0.3">
      <c r="A321" s="3">
        <v>45930</v>
      </c>
      <c r="B321" t="s">
        <v>67</v>
      </c>
      <c r="C321" s="5">
        <v>111717526.1815405</v>
      </c>
      <c r="D321" s="5">
        <v>113311723.4741621</v>
      </c>
      <c r="E321" s="7">
        <v>106198976.83110739</v>
      </c>
      <c r="F321" s="5">
        <v>106847623.36533681</v>
      </c>
      <c r="G321" s="5">
        <v>99425653.659009799</v>
      </c>
      <c r="I321" s="11">
        <f t="shared" si="19"/>
        <v>1117.1752618154051</v>
      </c>
    </row>
    <row r="322" spans="1:12" x14ac:dyDescent="0.3">
      <c r="A322" s="3">
        <v>46022</v>
      </c>
      <c r="B322" t="s">
        <v>33</v>
      </c>
      <c r="C322" s="5">
        <v>123047272.94995479</v>
      </c>
      <c r="D322" s="5">
        <v>115330061.79953711</v>
      </c>
      <c r="E322" s="7">
        <v>121004859.4780124</v>
      </c>
      <c r="F322" s="5">
        <v>128911166.64038549</v>
      </c>
      <c r="G322" s="5">
        <v>108462025.14324629</v>
      </c>
      <c r="I322" s="11">
        <f t="shared" si="19"/>
        <v>1230.472729499548</v>
      </c>
    </row>
    <row r="323" spans="1:12" x14ac:dyDescent="0.3">
      <c r="A323" s="3">
        <v>46112</v>
      </c>
      <c r="B323" t="s">
        <v>33</v>
      </c>
      <c r="C323" s="5">
        <v>105784068.1790425</v>
      </c>
      <c r="D323" s="5">
        <v>117304523.2047953</v>
      </c>
      <c r="E323" s="7">
        <v>102480669.6024099</v>
      </c>
      <c r="F323" s="5">
        <v>105153155.4577577</v>
      </c>
      <c r="G323" s="5">
        <v>93385428.8480106</v>
      </c>
      <c r="I323" s="11">
        <f t="shared" si="19"/>
        <v>1057.8406817904249</v>
      </c>
    </row>
    <row r="324" spans="1:12" x14ac:dyDescent="0.3">
      <c r="A324" s="3">
        <v>46203</v>
      </c>
      <c r="B324" t="s">
        <v>33</v>
      </c>
      <c r="C324" s="5">
        <v>120747504.02113651</v>
      </c>
      <c r="D324" s="5">
        <v>119300923.0701119</v>
      </c>
      <c r="E324" s="7">
        <v>115893321.6158776</v>
      </c>
      <c r="F324" s="5">
        <v>115831093.3956932</v>
      </c>
      <c r="G324" s="5">
        <v>111748630.4069546</v>
      </c>
      <c r="I324" s="11">
        <f t="shared" si="19"/>
        <v>1207.475040211365</v>
      </c>
    </row>
    <row r="325" spans="1:12" x14ac:dyDescent="0.3">
      <c r="A325" s="3">
        <v>46295</v>
      </c>
      <c r="B325" t="s">
        <v>33</v>
      </c>
      <c r="C325" s="5">
        <v>119605378.32075129</v>
      </c>
      <c r="D325" s="5">
        <v>121319261.39548691</v>
      </c>
      <c r="E325" s="7">
        <v>116941246.0170573</v>
      </c>
      <c r="F325" s="5">
        <v>115576336.2918614</v>
      </c>
      <c r="G325" s="5">
        <v>103324724.9132317</v>
      </c>
      <c r="I325" s="11">
        <f t="shared" si="19"/>
        <v>1196.0537832075129</v>
      </c>
    </row>
    <row r="326" spans="1:12" x14ac:dyDescent="0.3">
      <c r="A326" s="3">
        <v>45291</v>
      </c>
      <c r="B326" t="s">
        <v>68</v>
      </c>
      <c r="C326" s="5">
        <v>2230938887.3699999</v>
      </c>
      <c r="D326" s="5">
        <v>2230938887.3699999</v>
      </c>
      <c r="E326" s="5">
        <v>2230938887.3699999</v>
      </c>
      <c r="F326" s="5">
        <v>2230938887.3699999</v>
      </c>
      <c r="G326" s="5">
        <v>2230938887.3699999</v>
      </c>
      <c r="I326" s="11">
        <f t="shared" si="19"/>
        <v>22309.388873699998</v>
      </c>
      <c r="J326" s="13">
        <f>(C321+F321)/2</f>
        <v>109282574.77343866</v>
      </c>
      <c r="K326" s="12">
        <f>J326/100000</f>
        <v>1092.8257477343866</v>
      </c>
    </row>
    <row r="327" spans="1:12" x14ac:dyDescent="0.3">
      <c r="A327" s="3">
        <v>45382</v>
      </c>
      <c r="B327" t="s">
        <v>34</v>
      </c>
      <c r="C327" s="5">
        <v>2283627126.54</v>
      </c>
      <c r="D327" s="5">
        <v>2283627126.54</v>
      </c>
      <c r="E327" s="5">
        <v>2283627126.54</v>
      </c>
      <c r="F327" s="5">
        <v>2283627126.54</v>
      </c>
      <c r="G327" s="5">
        <v>2283627126.54</v>
      </c>
      <c r="I327" s="11">
        <f t="shared" si="19"/>
        <v>22836.271265399999</v>
      </c>
      <c r="J327" s="13">
        <f>(C322+F322)/2</f>
        <v>125979219.79517014</v>
      </c>
      <c r="K327" s="12">
        <f t="shared" ref="K327:K330" si="21">J327/100000</f>
        <v>1259.7921979517014</v>
      </c>
      <c r="L327" s="14">
        <f>SUM(E319:E322)</f>
        <v>429427478.79911977</v>
      </c>
    </row>
    <row r="328" spans="1:12" x14ac:dyDescent="0.3">
      <c r="A328" s="3">
        <v>45473</v>
      </c>
      <c r="B328" t="s">
        <v>34</v>
      </c>
      <c r="C328" s="5">
        <v>2536090807.9499998</v>
      </c>
      <c r="D328" s="5">
        <v>2536090807.9499998</v>
      </c>
      <c r="E328" s="5">
        <v>2536090807.9499998</v>
      </c>
      <c r="F328" s="5">
        <v>2536090807.9499998</v>
      </c>
      <c r="G328" s="5">
        <v>2536090807.9499998</v>
      </c>
      <c r="I328" s="11">
        <f t="shared" si="19"/>
        <v>25360.908079499997</v>
      </c>
      <c r="J328" s="13">
        <f>(C323+F323)/2</f>
        <v>105468611.8184001</v>
      </c>
      <c r="K328" s="12">
        <f t="shared" si="21"/>
        <v>1054.6861181840011</v>
      </c>
    </row>
    <row r="329" spans="1:12" x14ac:dyDescent="0.3">
      <c r="A329" s="3">
        <v>45565</v>
      </c>
      <c r="B329" t="s">
        <v>68</v>
      </c>
      <c r="C329" s="5">
        <v>2703108868.1199999</v>
      </c>
      <c r="D329" s="5">
        <v>2703108868.1199999</v>
      </c>
      <c r="E329" s="5">
        <v>2703108868.1199999</v>
      </c>
      <c r="F329" s="5">
        <v>2703108868.1199999</v>
      </c>
      <c r="G329" s="5">
        <v>2703108868.1199999</v>
      </c>
      <c r="I329" s="11">
        <f t="shared" si="19"/>
        <v>27031.088681199999</v>
      </c>
      <c r="J329" s="13">
        <f>(C324+F324)/2</f>
        <v>118289298.70841485</v>
      </c>
      <c r="K329" s="12">
        <f t="shared" si="21"/>
        <v>1182.8929870841484</v>
      </c>
    </row>
    <row r="330" spans="1:12" x14ac:dyDescent="0.3">
      <c r="A330" s="3">
        <v>45657</v>
      </c>
      <c r="B330" t="s">
        <v>34</v>
      </c>
      <c r="C330" s="5">
        <v>3253178131.0100002</v>
      </c>
      <c r="D330" s="5">
        <v>3253178131.0100002</v>
      </c>
      <c r="E330" s="5">
        <v>3253178131.0100002</v>
      </c>
      <c r="F330" s="5">
        <v>3253178131.0100002</v>
      </c>
      <c r="G330" s="5">
        <v>3253178131.0100002</v>
      </c>
      <c r="I330" s="11">
        <f t="shared" si="19"/>
        <v>32531.781310100003</v>
      </c>
      <c r="J330" s="13">
        <f>(C325+F325)/2</f>
        <v>117590857.30630635</v>
      </c>
      <c r="K330" s="12">
        <f t="shared" si="21"/>
        <v>1175.9085730630634</v>
      </c>
    </row>
    <row r="331" spans="1:12" x14ac:dyDescent="0.3">
      <c r="A331" s="3">
        <v>45747</v>
      </c>
      <c r="B331" t="s">
        <v>34</v>
      </c>
      <c r="C331" s="5">
        <v>3143089504.96</v>
      </c>
      <c r="D331" s="5">
        <v>3143089504.96</v>
      </c>
      <c r="E331" s="5">
        <v>3143089504.96</v>
      </c>
      <c r="F331" s="5">
        <v>3143089504.96</v>
      </c>
      <c r="G331" s="5">
        <v>3143089504.96</v>
      </c>
      <c r="I331" s="11">
        <f t="shared" si="19"/>
        <v>31430.8950496</v>
      </c>
    </row>
    <row r="332" spans="1:12" x14ac:dyDescent="0.3">
      <c r="A332" s="3">
        <v>45838</v>
      </c>
      <c r="B332" t="s">
        <v>34</v>
      </c>
      <c r="C332" s="5">
        <v>3294113466.2800002</v>
      </c>
      <c r="D332" s="5">
        <v>3294113466.2800002</v>
      </c>
      <c r="E332" s="5">
        <v>3294113466.2800002</v>
      </c>
      <c r="F332" s="5">
        <v>3294113466.2800002</v>
      </c>
      <c r="G332" s="5">
        <v>3294113466.2800002</v>
      </c>
      <c r="I332" s="11">
        <f t="shared" si="19"/>
        <v>32941.134662800003</v>
      </c>
    </row>
    <row r="333" spans="1:12" x14ac:dyDescent="0.3">
      <c r="A333" s="3">
        <v>45930</v>
      </c>
      <c r="B333" t="s">
        <v>34</v>
      </c>
      <c r="C333" s="7">
        <v>3183730704.3880758</v>
      </c>
      <c r="D333" s="5">
        <v>1582735069.8664091</v>
      </c>
      <c r="E333" s="5">
        <v>3359166371.226521</v>
      </c>
      <c r="F333" s="5">
        <v>3547985697.6248379</v>
      </c>
      <c r="G333" s="5">
        <v>2883367835.7969642</v>
      </c>
      <c r="I333" s="11">
        <f t="shared" si="19"/>
        <v>31837.307043880759</v>
      </c>
    </row>
    <row r="334" spans="1:12" x14ac:dyDescent="0.3">
      <c r="A334" s="3">
        <v>46022</v>
      </c>
      <c r="B334" t="s">
        <v>34</v>
      </c>
      <c r="C334" s="7">
        <v>3823884122.3161411</v>
      </c>
      <c r="D334" s="5">
        <v>1547181457.0313139</v>
      </c>
      <c r="E334" s="5">
        <v>3812226679.551692</v>
      </c>
      <c r="F334" s="5">
        <v>3924140363.7024088</v>
      </c>
      <c r="G334" s="5">
        <v>3445902513.3049841</v>
      </c>
      <c r="I334" s="11">
        <f t="shared" si="19"/>
        <v>38238.841223161413</v>
      </c>
    </row>
    <row r="335" spans="1:12" x14ac:dyDescent="0.3">
      <c r="A335" s="3">
        <v>46112</v>
      </c>
      <c r="B335" t="s">
        <v>34</v>
      </c>
      <c r="C335" s="7">
        <v>3700836818.7264051</v>
      </c>
      <c r="D335" s="5">
        <v>1512400748.8230691</v>
      </c>
      <c r="E335" s="5">
        <v>3759296339.852736</v>
      </c>
      <c r="F335" s="5">
        <v>3842546696.1018729</v>
      </c>
      <c r="G335" s="5">
        <v>3036310868.3197088</v>
      </c>
      <c r="I335" s="11">
        <f t="shared" si="19"/>
        <v>37008.368187264052</v>
      </c>
    </row>
    <row r="336" spans="1:12" x14ac:dyDescent="0.3">
      <c r="A336" s="3">
        <v>46203</v>
      </c>
      <c r="B336" t="s">
        <v>34</v>
      </c>
      <c r="C336" s="7">
        <v>4143589259.5240188</v>
      </c>
      <c r="D336" s="5">
        <v>1477233588.301399</v>
      </c>
      <c r="E336" s="5">
        <v>3948223631.777492</v>
      </c>
      <c r="F336" s="5">
        <v>4112019886.3369312</v>
      </c>
      <c r="G336" s="5">
        <v>3219805913.4652758</v>
      </c>
      <c r="I336" s="11">
        <f t="shared" si="19"/>
        <v>41435.892595240184</v>
      </c>
    </row>
    <row r="337" spans="1:9" x14ac:dyDescent="0.3">
      <c r="A337" s="3">
        <v>46295</v>
      </c>
      <c r="B337" t="s">
        <v>34</v>
      </c>
      <c r="C337" s="7">
        <v>3874039615.375361</v>
      </c>
      <c r="D337" s="5">
        <v>1441679975.4663041</v>
      </c>
      <c r="E337" s="5">
        <v>4011661973.5781732</v>
      </c>
      <c r="F337" s="5">
        <v>4233499930.4487672</v>
      </c>
      <c r="G337" s="5">
        <v>2817937221.9271979</v>
      </c>
      <c r="I337" s="11">
        <f t="shared" si="19"/>
        <v>38740.396153753609</v>
      </c>
    </row>
    <row r="338" spans="1:9" x14ac:dyDescent="0.3">
      <c r="A338" s="3">
        <v>45291</v>
      </c>
      <c r="B338" t="s">
        <v>35</v>
      </c>
      <c r="C338" s="5">
        <v>2332994791.0700002</v>
      </c>
      <c r="D338" s="5">
        <v>2332994791.0700002</v>
      </c>
      <c r="E338" s="5">
        <v>2332994791.0700002</v>
      </c>
      <c r="F338" s="5">
        <v>2332994791.0700002</v>
      </c>
      <c r="G338" s="5">
        <v>2332994791.0700002</v>
      </c>
      <c r="I338" s="11">
        <f t="shared" si="19"/>
        <v>23329.947910700001</v>
      </c>
    </row>
    <row r="339" spans="1:9" x14ac:dyDescent="0.3">
      <c r="A339" s="3">
        <v>45382</v>
      </c>
      <c r="B339" t="s">
        <v>35</v>
      </c>
      <c r="C339" s="5">
        <v>1890537605.3099999</v>
      </c>
      <c r="D339" s="5">
        <v>1890537605.3099999</v>
      </c>
      <c r="E339" s="5">
        <v>1890537605.3099999</v>
      </c>
      <c r="F339" s="5">
        <v>1890537605.3099999</v>
      </c>
      <c r="G339" s="5">
        <v>1890537605.3099999</v>
      </c>
      <c r="I339" s="11">
        <f t="shared" si="19"/>
        <v>18905.376053100001</v>
      </c>
    </row>
    <row r="340" spans="1:9" x14ac:dyDescent="0.3">
      <c r="A340" s="3">
        <v>45473</v>
      </c>
      <c r="B340" t="s">
        <v>35</v>
      </c>
      <c r="C340" s="5">
        <v>2070221320.1400001</v>
      </c>
      <c r="D340" s="5">
        <v>2070221320.1400001</v>
      </c>
      <c r="E340" s="5">
        <v>2070221320.1400001</v>
      </c>
      <c r="F340" s="5">
        <v>2070221320.1400001</v>
      </c>
      <c r="G340" s="5">
        <v>2070221320.1400001</v>
      </c>
      <c r="I340" s="11">
        <f t="shared" si="19"/>
        <v>20702.213201400002</v>
      </c>
    </row>
    <row r="341" spans="1:9" x14ac:dyDescent="0.3">
      <c r="A341" s="3">
        <v>45565</v>
      </c>
      <c r="B341" t="s">
        <v>35</v>
      </c>
      <c r="C341" s="5">
        <v>1918868748.4100001</v>
      </c>
      <c r="D341" s="5">
        <v>1918868748.4100001</v>
      </c>
      <c r="E341" s="5">
        <v>1918868748.4100001</v>
      </c>
      <c r="F341" s="5">
        <v>1918868748.4100001</v>
      </c>
      <c r="G341" s="5">
        <v>1918868748.4100001</v>
      </c>
      <c r="I341" s="11">
        <f t="shared" si="19"/>
        <v>19188.687484100003</v>
      </c>
    </row>
    <row r="342" spans="1:9" x14ac:dyDescent="0.3">
      <c r="A342" s="3">
        <v>45657</v>
      </c>
      <c r="B342" t="s">
        <v>35</v>
      </c>
      <c r="C342" s="5">
        <v>2438814761.1900001</v>
      </c>
      <c r="D342" s="5">
        <v>2438814761.1900001</v>
      </c>
      <c r="E342" s="5">
        <v>2438814761.1900001</v>
      </c>
      <c r="F342" s="5">
        <v>2438814761.1900001</v>
      </c>
      <c r="G342" s="5">
        <v>2438814761.1900001</v>
      </c>
      <c r="I342" s="11">
        <f t="shared" si="19"/>
        <v>24388.1476119</v>
      </c>
    </row>
    <row r="343" spans="1:9" x14ac:dyDescent="0.3">
      <c r="A343" s="3">
        <v>45747</v>
      </c>
      <c r="B343" t="s">
        <v>35</v>
      </c>
      <c r="C343" s="5">
        <v>1808165128.97</v>
      </c>
      <c r="D343" s="5">
        <v>1808165128.97</v>
      </c>
      <c r="E343" s="5">
        <v>1808165128.97</v>
      </c>
      <c r="F343" s="5">
        <v>1808165128.97</v>
      </c>
      <c r="G343" s="5">
        <v>1808165128.97</v>
      </c>
      <c r="I343" s="11">
        <f t="shared" si="19"/>
        <v>18081.651289699999</v>
      </c>
    </row>
    <row r="344" spans="1:9" x14ac:dyDescent="0.3">
      <c r="A344" s="3">
        <v>45838</v>
      </c>
      <c r="B344" t="s">
        <v>35</v>
      </c>
      <c r="C344" s="5">
        <v>1991446059.3</v>
      </c>
      <c r="D344" s="5">
        <v>1991446059.3</v>
      </c>
      <c r="E344" s="5">
        <v>1991446059.3</v>
      </c>
      <c r="F344" s="5">
        <v>1991446059.3</v>
      </c>
      <c r="G344" s="5">
        <v>1991446059.3</v>
      </c>
      <c r="I344" s="11">
        <f t="shared" si="19"/>
        <v>19914.460593</v>
      </c>
    </row>
    <row r="345" spans="1:9" x14ac:dyDescent="0.3">
      <c r="A345" s="3">
        <v>45930</v>
      </c>
      <c r="B345" t="s">
        <v>35</v>
      </c>
      <c r="C345" s="5">
        <v>2002119869.4228051</v>
      </c>
      <c r="D345" s="5">
        <v>2101720263.053756</v>
      </c>
      <c r="E345" s="7">
        <v>1884028933.9879079</v>
      </c>
      <c r="F345" s="5">
        <v>1908787578.664495</v>
      </c>
      <c r="G345" s="5">
        <v>1915477043.6831501</v>
      </c>
      <c r="I345" s="11">
        <f t="shared" si="19"/>
        <v>20021.198694228049</v>
      </c>
    </row>
    <row r="346" spans="1:9" x14ac:dyDescent="0.3">
      <c r="A346" s="3">
        <v>46022</v>
      </c>
      <c r="B346" t="s">
        <v>35</v>
      </c>
      <c r="C346" s="5">
        <v>2433397153.4094992</v>
      </c>
      <c r="D346" s="5">
        <v>2117022304.495255</v>
      </c>
      <c r="E346" s="7">
        <v>2345126615.6483889</v>
      </c>
      <c r="F346" s="5">
        <v>2413726880.3654861</v>
      </c>
      <c r="G346" s="5">
        <v>2384845062.8762832</v>
      </c>
      <c r="I346" s="11">
        <f t="shared" si="19"/>
        <v>24333.971534094992</v>
      </c>
    </row>
    <row r="347" spans="1:9" x14ac:dyDescent="0.3">
      <c r="A347" s="3">
        <v>46112</v>
      </c>
      <c r="B347" t="s">
        <v>35</v>
      </c>
      <c r="C347" s="5">
        <v>1922641610.853528</v>
      </c>
      <c r="D347" s="5">
        <v>2131991692.861939</v>
      </c>
      <c r="E347" s="7">
        <v>1795613038.0089769</v>
      </c>
      <c r="F347" s="5">
        <v>1783019656.9440751</v>
      </c>
      <c r="G347" s="5">
        <v>1824851227.2707479</v>
      </c>
      <c r="I347" s="11">
        <f t="shared" si="19"/>
        <v>19226.416108535279</v>
      </c>
    </row>
    <row r="348" spans="1:9" x14ac:dyDescent="0.3">
      <c r="A348" s="3">
        <v>46203</v>
      </c>
      <c r="B348" t="s">
        <v>35</v>
      </c>
      <c r="C348" s="5">
        <v>2141312050.1944959</v>
      </c>
      <c r="D348" s="5">
        <v>2147127407.766032</v>
      </c>
      <c r="E348" s="7">
        <v>1942808977.5978651</v>
      </c>
      <c r="F348" s="5">
        <v>1960577726.1952021</v>
      </c>
      <c r="G348" s="5">
        <v>2050646779.2940471</v>
      </c>
      <c r="I348" s="11">
        <f t="shared" si="19"/>
        <v>21413.120501944959</v>
      </c>
    </row>
    <row r="349" spans="1:9" x14ac:dyDescent="0.3">
      <c r="A349" s="3">
        <v>46295</v>
      </c>
      <c r="B349" t="s">
        <v>35</v>
      </c>
      <c r="C349" s="5">
        <v>2051558032.11994</v>
      </c>
      <c r="D349" s="5">
        <v>2162429449.207531</v>
      </c>
      <c r="E349" s="7">
        <v>1827732209.8249331</v>
      </c>
      <c r="F349" s="5">
        <v>1874351056.4459109</v>
      </c>
      <c r="G349" s="5">
        <v>1938953822.4819601</v>
      </c>
      <c r="I349" s="11">
        <f t="shared" si="19"/>
        <v>20515.580321199399</v>
      </c>
    </row>
    <row r="350" spans="1:9" x14ac:dyDescent="0.3">
      <c r="A350" s="3">
        <v>45291</v>
      </c>
      <c r="B350" t="s">
        <v>69</v>
      </c>
      <c r="C350" s="5">
        <v>197214270.75</v>
      </c>
      <c r="D350" s="5">
        <v>197214270.75</v>
      </c>
      <c r="E350" s="5">
        <v>197214270.75</v>
      </c>
      <c r="F350" s="5">
        <v>197214270.75</v>
      </c>
      <c r="G350" s="5">
        <v>197214270.75</v>
      </c>
      <c r="I350" s="11">
        <f t="shared" si="19"/>
        <v>1972.1427074999999</v>
      </c>
    </row>
    <row r="351" spans="1:9" x14ac:dyDescent="0.3">
      <c r="A351" s="3">
        <v>45382</v>
      </c>
      <c r="B351" t="s">
        <v>36</v>
      </c>
      <c r="C351" s="5">
        <v>127615356.73999999</v>
      </c>
      <c r="D351" s="5">
        <v>127615356.73999999</v>
      </c>
      <c r="E351" s="5">
        <v>127615356.73999999</v>
      </c>
      <c r="F351" s="5">
        <v>127615356.73999999</v>
      </c>
      <c r="G351" s="5">
        <v>127615356.73999999</v>
      </c>
      <c r="I351" s="11">
        <f t="shared" si="19"/>
        <v>1276.1535673999999</v>
      </c>
    </row>
    <row r="352" spans="1:9" x14ac:dyDescent="0.3">
      <c r="A352" s="3">
        <v>45473</v>
      </c>
      <c r="B352" t="s">
        <v>36</v>
      </c>
      <c r="C352" s="5">
        <v>127244356.81</v>
      </c>
      <c r="D352" s="5">
        <v>127244356.81</v>
      </c>
      <c r="E352" s="5">
        <v>127244356.81</v>
      </c>
      <c r="F352" s="5">
        <v>127244356.81</v>
      </c>
      <c r="G352" s="5">
        <v>127244356.81</v>
      </c>
      <c r="I352" s="11">
        <f t="shared" si="19"/>
        <v>1272.4435681</v>
      </c>
    </row>
    <row r="353" spans="1:9" x14ac:dyDescent="0.3">
      <c r="A353" s="3">
        <v>45565</v>
      </c>
      <c r="B353" t="s">
        <v>36</v>
      </c>
      <c r="C353" s="5">
        <v>105867506.91</v>
      </c>
      <c r="D353" s="5">
        <v>105867506.91</v>
      </c>
      <c r="E353" s="5">
        <v>105867506.91</v>
      </c>
      <c r="F353" s="5">
        <v>105867506.91</v>
      </c>
      <c r="G353" s="5">
        <v>105867506.91</v>
      </c>
      <c r="I353" s="11">
        <f t="shared" si="19"/>
        <v>1058.6750691</v>
      </c>
    </row>
    <row r="354" spans="1:9" x14ac:dyDescent="0.3">
      <c r="A354" s="3">
        <v>45657</v>
      </c>
      <c r="B354" t="s">
        <v>36</v>
      </c>
      <c r="C354" s="5">
        <v>192635757.56</v>
      </c>
      <c r="D354" s="5">
        <v>192635757.56</v>
      </c>
      <c r="E354" s="5">
        <v>192635757.56</v>
      </c>
      <c r="F354" s="5">
        <v>192635757.56</v>
      </c>
      <c r="G354" s="5">
        <v>192635757.56</v>
      </c>
      <c r="I354" s="11">
        <f t="shared" si="19"/>
        <v>1926.3575756</v>
      </c>
    </row>
    <row r="355" spans="1:9" x14ac:dyDescent="0.3">
      <c r="A355" s="3">
        <v>45747</v>
      </c>
      <c r="B355" t="s">
        <v>36</v>
      </c>
      <c r="C355" s="5">
        <v>96419001.319999993</v>
      </c>
      <c r="D355" s="5">
        <v>96419001.319999993</v>
      </c>
      <c r="E355" s="5">
        <v>96419001.319999993</v>
      </c>
      <c r="F355" s="5">
        <v>96419001.319999993</v>
      </c>
      <c r="G355" s="5">
        <v>96419001.319999993</v>
      </c>
      <c r="I355" s="11">
        <f t="shared" si="19"/>
        <v>964.19001319999995</v>
      </c>
    </row>
    <row r="356" spans="1:9" x14ac:dyDescent="0.3">
      <c r="A356" s="3">
        <v>45838</v>
      </c>
      <c r="B356" t="s">
        <v>36</v>
      </c>
      <c r="C356" s="5">
        <v>102267262.79000001</v>
      </c>
      <c r="D356" s="5">
        <v>102267262.79000001</v>
      </c>
      <c r="E356" s="5">
        <v>102267262.79000001</v>
      </c>
      <c r="F356" s="5">
        <v>102267262.79000001</v>
      </c>
      <c r="G356" s="5">
        <v>102267262.79000001</v>
      </c>
      <c r="I356" s="11">
        <f t="shared" ref="I356:I419" si="22">C356/100000</f>
        <v>1022.6726279000001</v>
      </c>
    </row>
    <row r="357" spans="1:9" x14ac:dyDescent="0.3">
      <c r="A357" s="3">
        <v>45930</v>
      </c>
      <c r="B357" t="s">
        <v>36</v>
      </c>
      <c r="C357" s="7">
        <v>101665849.4561175</v>
      </c>
      <c r="D357" s="5">
        <v>119810966.85730159</v>
      </c>
      <c r="E357" s="5">
        <v>78007527.790610641</v>
      </c>
      <c r="F357" s="5">
        <v>85094000.372178614</v>
      </c>
      <c r="G357" s="5">
        <v>99384204.627361163</v>
      </c>
      <c r="I357" s="11">
        <f t="shared" si="22"/>
        <v>1016.658494561175</v>
      </c>
    </row>
    <row r="358" spans="1:9" x14ac:dyDescent="0.3">
      <c r="A358" s="3">
        <v>46022</v>
      </c>
      <c r="B358" t="s">
        <v>36</v>
      </c>
      <c r="C358" s="7">
        <v>182428674.8352513</v>
      </c>
      <c r="D358" s="5">
        <v>119620343.0415743</v>
      </c>
      <c r="E358" s="5">
        <v>166043864.44663659</v>
      </c>
      <c r="F358" s="5">
        <v>170535388.74985901</v>
      </c>
      <c r="G358" s="5">
        <v>173076019.53283831</v>
      </c>
      <c r="I358" s="11">
        <f t="shared" si="22"/>
        <v>1824.2867483525131</v>
      </c>
    </row>
    <row r="359" spans="1:9" x14ac:dyDescent="0.3">
      <c r="A359" s="3">
        <v>46112</v>
      </c>
      <c r="B359" t="s">
        <v>36</v>
      </c>
      <c r="C359" s="7">
        <v>96866790.54808034</v>
      </c>
      <c r="D359" s="5">
        <v>119433863.2218412</v>
      </c>
      <c r="E359" s="5">
        <v>85633087.730222583</v>
      </c>
      <c r="F359" s="5">
        <v>95227396.394920081</v>
      </c>
      <c r="G359" s="5">
        <v>95557183.154308319</v>
      </c>
      <c r="I359" s="11">
        <f t="shared" si="22"/>
        <v>968.66790548080337</v>
      </c>
    </row>
    <row r="360" spans="1:9" x14ac:dyDescent="0.3">
      <c r="A360" s="3">
        <v>46203</v>
      </c>
      <c r="B360" t="s">
        <v>36</v>
      </c>
      <c r="C360" s="7">
        <v>105028968.3926066</v>
      </c>
      <c r="D360" s="5">
        <v>119245311.404111</v>
      </c>
      <c r="E360" s="5">
        <v>76807147.939116165</v>
      </c>
      <c r="F360" s="5">
        <v>78730171.095998257</v>
      </c>
      <c r="G360" s="5">
        <v>102400935.4429808</v>
      </c>
      <c r="I360" s="11">
        <f t="shared" si="22"/>
        <v>1050.2896839260661</v>
      </c>
    </row>
    <row r="361" spans="1:9" x14ac:dyDescent="0.3">
      <c r="A361" s="3">
        <v>46295</v>
      </c>
      <c r="B361" t="s">
        <v>36</v>
      </c>
      <c r="C361" s="7">
        <v>99489649.21681188</v>
      </c>
      <c r="D361" s="5">
        <v>119054687.58838379</v>
      </c>
      <c r="E361" s="5">
        <v>65196014.127051473</v>
      </c>
      <c r="F361" s="5">
        <v>77932050.209736422</v>
      </c>
      <c r="G361" s="5">
        <v>98727164.711556166</v>
      </c>
      <c r="I361" s="11">
        <f t="shared" si="22"/>
        <v>994.89649216811881</v>
      </c>
    </row>
    <row r="362" spans="1:9" x14ac:dyDescent="0.3">
      <c r="A362" s="3">
        <v>45291</v>
      </c>
      <c r="B362" t="s">
        <v>15</v>
      </c>
      <c r="C362" s="5">
        <v>382597510.57999998</v>
      </c>
      <c r="D362" s="5">
        <v>382597510.57999998</v>
      </c>
      <c r="E362" s="5">
        <v>382597510.57999998</v>
      </c>
      <c r="F362" s="5">
        <v>382597510.57999998</v>
      </c>
      <c r="G362" s="5">
        <v>382597510.57999998</v>
      </c>
      <c r="I362" s="11">
        <f t="shared" si="22"/>
        <v>3825.9751057999997</v>
      </c>
    </row>
    <row r="363" spans="1:9" x14ac:dyDescent="0.3">
      <c r="A363" s="3">
        <v>45382</v>
      </c>
      <c r="B363" t="s">
        <v>15</v>
      </c>
      <c r="C363" s="5">
        <v>736980406.83000004</v>
      </c>
      <c r="D363" s="5">
        <v>736980406.83000004</v>
      </c>
      <c r="E363" s="5">
        <v>736980406.83000004</v>
      </c>
      <c r="F363" s="5">
        <v>736980406.83000004</v>
      </c>
      <c r="G363" s="5">
        <v>736980406.83000004</v>
      </c>
      <c r="I363" s="11">
        <f t="shared" si="22"/>
        <v>7369.8040683000008</v>
      </c>
    </row>
    <row r="364" spans="1:9" x14ac:dyDescent="0.3">
      <c r="A364" s="3">
        <v>45473</v>
      </c>
      <c r="B364" t="s">
        <v>15</v>
      </c>
      <c r="C364" s="5">
        <v>874741298.99000001</v>
      </c>
      <c r="D364" s="5">
        <v>874741298.99000001</v>
      </c>
      <c r="E364" s="5">
        <v>874741298.99000001</v>
      </c>
      <c r="F364" s="5">
        <v>874741298.99000001</v>
      </c>
      <c r="G364" s="5">
        <v>874741298.99000001</v>
      </c>
      <c r="I364" s="11">
        <f t="shared" si="22"/>
        <v>8747.4129899</v>
      </c>
    </row>
    <row r="365" spans="1:9" x14ac:dyDescent="0.3">
      <c r="A365" s="3">
        <v>45565</v>
      </c>
      <c r="B365" t="s">
        <v>15</v>
      </c>
      <c r="C365" s="5">
        <v>881933317.83000004</v>
      </c>
      <c r="D365" s="5">
        <v>881933317.83000004</v>
      </c>
      <c r="E365" s="5">
        <v>881933317.83000004</v>
      </c>
      <c r="F365" s="5">
        <v>881933317.83000004</v>
      </c>
      <c r="G365" s="5">
        <v>881933317.83000004</v>
      </c>
      <c r="I365" s="11">
        <f t="shared" si="22"/>
        <v>8819.3331783000012</v>
      </c>
    </row>
    <row r="366" spans="1:9" x14ac:dyDescent="0.3">
      <c r="A366" s="3">
        <v>45657</v>
      </c>
      <c r="B366" t="s">
        <v>57</v>
      </c>
      <c r="C366" s="5">
        <v>1063648530.72</v>
      </c>
      <c r="D366" s="5">
        <v>1063648530.72</v>
      </c>
      <c r="E366" s="5">
        <v>1063648530.72</v>
      </c>
      <c r="F366" s="5">
        <v>1063648530.72</v>
      </c>
      <c r="G366" s="5">
        <v>1063648530.72</v>
      </c>
      <c r="I366" s="11">
        <f t="shared" si="22"/>
        <v>10636.485307200001</v>
      </c>
    </row>
    <row r="367" spans="1:9" x14ac:dyDescent="0.3">
      <c r="A367" s="3">
        <v>45747</v>
      </c>
      <c r="B367" t="s">
        <v>15</v>
      </c>
      <c r="C367" s="5">
        <v>841911660.22000003</v>
      </c>
      <c r="D367" s="5">
        <v>841911660.22000003</v>
      </c>
      <c r="E367" s="5">
        <v>841911660.22000003</v>
      </c>
      <c r="F367" s="5">
        <v>841911660.22000003</v>
      </c>
      <c r="G367" s="5">
        <v>841911660.22000003</v>
      </c>
      <c r="I367" s="11">
        <f t="shared" si="22"/>
        <v>8419.1166021999998</v>
      </c>
    </row>
    <row r="368" spans="1:9" x14ac:dyDescent="0.3">
      <c r="A368" s="3">
        <v>45838</v>
      </c>
      <c r="B368" t="s">
        <v>15</v>
      </c>
      <c r="C368" s="5">
        <v>961457364.49000001</v>
      </c>
      <c r="D368" s="5">
        <v>961457364.49000001</v>
      </c>
      <c r="E368" s="5">
        <v>961457364.49000001</v>
      </c>
      <c r="F368" s="5">
        <v>961457364.49000001</v>
      </c>
      <c r="G368" s="5">
        <v>961457364.49000001</v>
      </c>
      <c r="I368" s="11">
        <f t="shared" si="22"/>
        <v>9614.5736448999996</v>
      </c>
    </row>
    <row r="369" spans="1:9" x14ac:dyDescent="0.3">
      <c r="A369" s="3">
        <v>45930</v>
      </c>
      <c r="B369" t="s">
        <v>15</v>
      </c>
      <c r="C369" s="7">
        <v>948124637.71487164</v>
      </c>
      <c r="D369" s="5">
        <v>829748799.28167331</v>
      </c>
      <c r="E369" s="5">
        <v>993602017.19785285</v>
      </c>
      <c r="F369" s="5">
        <v>959782679.23316598</v>
      </c>
      <c r="G369" s="5">
        <v>974610155.70977902</v>
      </c>
      <c r="I369" s="11">
        <f t="shared" si="22"/>
        <v>9481.2463771487164</v>
      </c>
    </row>
    <row r="370" spans="1:9" x14ac:dyDescent="0.3">
      <c r="A370" s="3">
        <v>46022</v>
      </c>
      <c r="B370" t="s">
        <v>15</v>
      </c>
      <c r="C370" s="7">
        <v>977728108.83429945</v>
      </c>
      <c r="D370" s="5">
        <v>848668863.33923006</v>
      </c>
      <c r="E370" s="5">
        <v>1057310396.74461</v>
      </c>
      <c r="F370" s="5">
        <v>958708150.2327708</v>
      </c>
      <c r="G370" s="5">
        <v>985850592.6062814</v>
      </c>
      <c r="I370" s="11">
        <f t="shared" si="22"/>
        <v>9777.2810883429938</v>
      </c>
    </row>
    <row r="371" spans="1:9" x14ac:dyDescent="0.3">
      <c r="A371" s="3">
        <v>46112</v>
      </c>
      <c r="B371" t="s">
        <v>15</v>
      </c>
      <c r="C371" s="7">
        <v>953730889.84690845</v>
      </c>
      <c r="D371" s="5">
        <v>867177621.65640485</v>
      </c>
      <c r="E371" s="5">
        <v>1098575521.93554</v>
      </c>
      <c r="F371" s="5">
        <v>1072330938.493287</v>
      </c>
      <c r="G371" s="5">
        <v>915856111.4082104</v>
      </c>
      <c r="I371" s="11">
        <f t="shared" si="22"/>
        <v>9537.3088984690839</v>
      </c>
    </row>
    <row r="372" spans="1:9" x14ac:dyDescent="0.3">
      <c r="A372" s="3">
        <v>46203</v>
      </c>
      <c r="B372" t="s">
        <v>15</v>
      </c>
      <c r="C372" s="7">
        <v>995112053.84677517</v>
      </c>
      <c r="D372" s="5">
        <v>885892032.84377062</v>
      </c>
      <c r="E372" s="5">
        <v>1152651893.5516181</v>
      </c>
      <c r="F372" s="5">
        <v>1090290325.745512</v>
      </c>
      <c r="G372" s="5">
        <v>994188135.77198899</v>
      </c>
      <c r="I372" s="11">
        <f t="shared" si="22"/>
        <v>9951.1205384677523</v>
      </c>
    </row>
    <row r="373" spans="1:9" x14ac:dyDescent="0.3">
      <c r="A373" s="3">
        <v>46295</v>
      </c>
      <c r="B373" t="s">
        <v>15</v>
      </c>
      <c r="C373" s="7">
        <v>997557108.98813677</v>
      </c>
      <c r="D373" s="5">
        <v>904812096.90132701</v>
      </c>
      <c r="E373" s="5">
        <v>1183937596.127857</v>
      </c>
      <c r="G373" s="5">
        <v>1013102820.339059</v>
      </c>
      <c r="I373" s="11">
        <f t="shared" si="22"/>
        <v>9975.5710898813668</v>
      </c>
    </row>
    <row r="374" spans="1:9" x14ac:dyDescent="0.3">
      <c r="A374" s="3">
        <v>45291</v>
      </c>
      <c r="B374" t="s">
        <v>37</v>
      </c>
      <c r="C374" s="5">
        <v>23391018.870000001</v>
      </c>
      <c r="D374" s="5">
        <v>23391018.870000001</v>
      </c>
      <c r="E374" s="5">
        <v>23391018.870000001</v>
      </c>
      <c r="F374" s="5">
        <v>23391018.870000001</v>
      </c>
      <c r="G374" s="5">
        <v>23391018.870000001</v>
      </c>
      <c r="I374" s="11">
        <f t="shared" si="22"/>
        <v>233.91018870000002</v>
      </c>
    </row>
    <row r="375" spans="1:9" x14ac:dyDescent="0.3">
      <c r="A375" s="3">
        <v>45382</v>
      </c>
      <c r="B375" t="s">
        <v>37</v>
      </c>
      <c r="C375" s="5">
        <v>20352162.93</v>
      </c>
      <c r="D375" s="5">
        <v>20352162.93</v>
      </c>
      <c r="E375" s="5">
        <v>20352162.93</v>
      </c>
      <c r="F375" s="5">
        <v>20352162.93</v>
      </c>
      <c r="G375" s="5">
        <v>20352162.93</v>
      </c>
      <c r="I375" s="11">
        <f t="shared" si="22"/>
        <v>203.5216293</v>
      </c>
    </row>
    <row r="376" spans="1:9" x14ac:dyDescent="0.3">
      <c r="A376" s="3">
        <v>45473</v>
      </c>
      <c r="B376" t="s">
        <v>37</v>
      </c>
      <c r="C376" s="5">
        <v>44739395.520000003</v>
      </c>
      <c r="D376" s="5">
        <v>44739395.520000003</v>
      </c>
      <c r="E376" s="5">
        <v>44739395.520000003</v>
      </c>
      <c r="F376" s="5">
        <v>44739395.520000003</v>
      </c>
      <c r="G376" s="5">
        <v>44739395.520000003</v>
      </c>
      <c r="I376" s="11">
        <f t="shared" si="22"/>
        <v>447.39395520000005</v>
      </c>
    </row>
    <row r="377" spans="1:9" x14ac:dyDescent="0.3">
      <c r="A377" s="3">
        <v>45565</v>
      </c>
      <c r="B377" t="s">
        <v>37</v>
      </c>
      <c r="C377" s="5">
        <v>27220412.489999998</v>
      </c>
      <c r="D377" s="5">
        <v>27220412.489999998</v>
      </c>
      <c r="E377" s="5">
        <v>27220412.489999998</v>
      </c>
      <c r="F377" s="5">
        <v>27220412.489999998</v>
      </c>
      <c r="G377" s="5">
        <v>27220412.489999998</v>
      </c>
      <c r="I377" s="11">
        <f t="shared" si="22"/>
        <v>272.20412490000001</v>
      </c>
    </row>
    <row r="378" spans="1:9" x14ac:dyDescent="0.3">
      <c r="A378" s="3">
        <v>45657</v>
      </c>
      <c r="B378" t="s">
        <v>37</v>
      </c>
      <c r="C378" s="5">
        <v>67764997.980000004</v>
      </c>
      <c r="D378" s="5">
        <v>67764997.980000004</v>
      </c>
      <c r="E378" s="5">
        <v>67764997.980000004</v>
      </c>
      <c r="F378" s="5">
        <v>67764997.980000004</v>
      </c>
      <c r="G378" s="5">
        <v>67764997.980000004</v>
      </c>
      <c r="I378" s="11">
        <f t="shared" si="22"/>
        <v>677.6499798000001</v>
      </c>
    </row>
    <row r="379" spans="1:9" x14ac:dyDescent="0.3">
      <c r="A379" s="3">
        <v>45747</v>
      </c>
      <c r="B379" t="s">
        <v>37</v>
      </c>
      <c r="C379" s="5">
        <v>30242651.010000002</v>
      </c>
      <c r="D379" s="5">
        <v>30242651.010000002</v>
      </c>
      <c r="E379" s="5">
        <v>30242651.010000002</v>
      </c>
      <c r="F379" s="5">
        <v>30242651.010000002</v>
      </c>
      <c r="G379" s="5">
        <v>30242651.010000002</v>
      </c>
      <c r="I379" s="11">
        <f t="shared" si="22"/>
        <v>302.42651010000003</v>
      </c>
    </row>
    <row r="380" spans="1:9" x14ac:dyDescent="0.3">
      <c r="A380" s="3">
        <v>45838</v>
      </c>
      <c r="B380" t="s">
        <v>37</v>
      </c>
      <c r="C380" s="5">
        <v>36255092.409999996</v>
      </c>
      <c r="D380" s="5">
        <v>36255092.409999996</v>
      </c>
      <c r="E380" s="5">
        <v>36255092.409999996</v>
      </c>
      <c r="F380" s="5">
        <v>36255092.409999996</v>
      </c>
      <c r="G380" s="5">
        <v>36255092.409999996</v>
      </c>
      <c r="I380" s="11">
        <f t="shared" si="22"/>
        <v>362.55092409999997</v>
      </c>
    </row>
    <row r="381" spans="1:9" x14ac:dyDescent="0.3">
      <c r="A381" s="3">
        <v>45930</v>
      </c>
      <c r="B381" t="s">
        <v>37</v>
      </c>
      <c r="C381" s="5">
        <v>27303578.023993202</v>
      </c>
      <c r="D381" s="5">
        <v>34443428.73204416</v>
      </c>
      <c r="E381" s="7">
        <v>26884827.935059611</v>
      </c>
      <c r="F381" s="5">
        <v>26552673.276811931</v>
      </c>
      <c r="G381" s="5">
        <v>35293417.59464018</v>
      </c>
      <c r="I381" s="11">
        <f t="shared" si="22"/>
        <v>273.03578023993202</v>
      </c>
    </row>
    <row r="382" spans="1:9" x14ac:dyDescent="0.3">
      <c r="A382" s="3">
        <v>46022</v>
      </c>
      <c r="B382" t="s">
        <v>70</v>
      </c>
      <c r="C382" s="5">
        <v>29208421.448476661</v>
      </c>
      <c r="D382" s="5">
        <v>34457062.501749977</v>
      </c>
      <c r="E382" s="7">
        <v>28355762.186584521</v>
      </c>
      <c r="F382" s="5">
        <v>24050845.80359425</v>
      </c>
      <c r="G382" s="5">
        <v>35302628.326109268</v>
      </c>
      <c r="I382" s="11">
        <f t="shared" si="22"/>
        <v>292.08421448476662</v>
      </c>
    </row>
    <row r="383" spans="1:9" x14ac:dyDescent="0.3">
      <c r="A383" s="3">
        <v>46112</v>
      </c>
      <c r="B383" t="s">
        <v>37</v>
      </c>
      <c r="C383" s="5">
        <v>22108070.112175431</v>
      </c>
      <c r="D383" s="5">
        <v>34470399.885157838</v>
      </c>
      <c r="E383" s="7">
        <v>29941302.621765699</v>
      </c>
      <c r="F383" s="5">
        <v>23868593.421135072</v>
      </c>
      <c r="G383" s="5">
        <v>35311839.057578363</v>
      </c>
      <c r="I383" s="11">
        <f t="shared" si="22"/>
        <v>221.08070112175432</v>
      </c>
    </row>
    <row r="384" spans="1:9" x14ac:dyDescent="0.3">
      <c r="A384" s="3">
        <v>46203</v>
      </c>
      <c r="B384" t="s">
        <v>37</v>
      </c>
      <c r="C384" s="5">
        <v>60416097.031544633</v>
      </c>
      <c r="D384" s="5">
        <v>34483885.461714678</v>
      </c>
      <c r="E384" s="7">
        <v>36084866.433357254</v>
      </c>
      <c r="F384" s="5">
        <v>33560171.268347278</v>
      </c>
      <c r="G384" s="5">
        <v>35321049.789047442</v>
      </c>
      <c r="I384" s="11">
        <f t="shared" si="22"/>
        <v>604.16097031544632</v>
      </c>
    </row>
    <row r="385" spans="1:9" x14ac:dyDescent="0.3">
      <c r="A385" s="3">
        <v>46295</v>
      </c>
      <c r="B385" t="s">
        <v>37</v>
      </c>
      <c r="C385" s="5">
        <v>28070115.139381301</v>
      </c>
      <c r="D385" s="5">
        <v>34497519.231420487</v>
      </c>
      <c r="E385" s="7">
        <v>31173213.601701561</v>
      </c>
      <c r="F385" s="5">
        <v>26377329.017511319</v>
      </c>
      <c r="G385" s="5">
        <v>35330260.52051653</v>
      </c>
      <c r="I385" s="11">
        <f t="shared" si="22"/>
        <v>280.70115139381301</v>
      </c>
    </row>
    <row r="386" spans="1:9" x14ac:dyDescent="0.3">
      <c r="A386" s="3">
        <v>45291</v>
      </c>
      <c r="B386" t="s">
        <v>71</v>
      </c>
      <c r="C386" s="5">
        <v>33426354.359999999</v>
      </c>
      <c r="D386" s="5">
        <v>33426354.359999999</v>
      </c>
      <c r="E386" s="5">
        <v>33426354.359999999</v>
      </c>
      <c r="F386" s="5">
        <v>33426354.359999999</v>
      </c>
      <c r="G386" s="5">
        <v>33426354.359999999</v>
      </c>
      <c r="I386" s="11">
        <f t="shared" si="22"/>
        <v>334.26354359999999</v>
      </c>
    </row>
    <row r="387" spans="1:9" x14ac:dyDescent="0.3">
      <c r="A387" s="3">
        <v>45382</v>
      </c>
      <c r="B387" t="s">
        <v>38</v>
      </c>
      <c r="C387" s="5">
        <v>60809346.200000003</v>
      </c>
      <c r="D387" s="5">
        <v>60809346.200000003</v>
      </c>
      <c r="E387" s="5">
        <v>60809346.200000003</v>
      </c>
      <c r="F387" s="5">
        <v>60809346.200000003</v>
      </c>
      <c r="G387" s="5">
        <v>60809346.200000003</v>
      </c>
      <c r="I387" s="11">
        <f t="shared" si="22"/>
        <v>608.09346200000005</v>
      </c>
    </row>
    <row r="388" spans="1:9" x14ac:dyDescent="0.3">
      <c r="A388" s="3">
        <v>45473</v>
      </c>
      <c r="B388" t="s">
        <v>38</v>
      </c>
      <c r="C388" s="5">
        <v>60678727.130000003</v>
      </c>
      <c r="D388" s="5">
        <v>60678727.130000003</v>
      </c>
      <c r="E388" s="5">
        <v>60678727.130000003</v>
      </c>
      <c r="F388" s="5">
        <v>60678727.130000003</v>
      </c>
      <c r="G388" s="5">
        <v>60678727.130000003</v>
      </c>
      <c r="I388" s="11">
        <f t="shared" si="22"/>
        <v>606.78727130000004</v>
      </c>
    </row>
    <row r="389" spans="1:9" x14ac:dyDescent="0.3">
      <c r="A389" s="3">
        <v>45565</v>
      </c>
      <c r="B389" t="s">
        <v>38</v>
      </c>
      <c r="C389" s="5">
        <v>57545823.810000002</v>
      </c>
      <c r="D389" s="5">
        <v>57545823.810000002</v>
      </c>
      <c r="E389" s="5">
        <v>57545823.810000002</v>
      </c>
      <c r="F389" s="5">
        <v>57545823.810000002</v>
      </c>
      <c r="G389" s="5">
        <v>57545823.810000002</v>
      </c>
      <c r="I389" s="11">
        <f t="shared" si="22"/>
        <v>575.45823810000002</v>
      </c>
    </row>
    <row r="390" spans="1:9" x14ac:dyDescent="0.3">
      <c r="A390" s="3">
        <v>45657</v>
      </c>
      <c r="B390" t="s">
        <v>38</v>
      </c>
      <c r="C390" s="5">
        <v>56858033.890000001</v>
      </c>
      <c r="D390" s="5">
        <v>56858033.890000001</v>
      </c>
      <c r="E390" s="5">
        <v>56858033.890000001</v>
      </c>
      <c r="F390" s="5">
        <v>56858033.890000001</v>
      </c>
      <c r="G390" s="5">
        <v>56858033.890000001</v>
      </c>
      <c r="I390" s="11">
        <f t="shared" si="22"/>
        <v>568.58033890000002</v>
      </c>
    </row>
    <row r="391" spans="1:9" x14ac:dyDescent="0.3">
      <c r="A391" s="3">
        <v>45747</v>
      </c>
      <c r="B391" t="s">
        <v>38</v>
      </c>
      <c r="C391" s="5">
        <v>44151047.740000002</v>
      </c>
      <c r="D391" s="5">
        <v>44151047.740000002</v>
      </c>
      <c r="E391" s="5">
        <v>44151047.740000002</v>
      </c>
      <c r="F391" s="5">
        <v>44151047.740000002</v>
      </c>
      <c r="G391" s="5">
        <v>44151047.740000002</v>
      </c>
      <c r="I391" s="11">
        <f t="shared" si="22"/>
        <v>441.51047740000001</v>
      </c>
    </row>
    <row r="392" spans="1:9" x14ac:dyDescent="0.3">
      <c r="A392" s="3">
        <v>45838</v>
      </c>
      <c r="B392" t="s">
        <v>38</v>
      </c>
      <c r="C392" s="5">
        <v>57408052.170000002</v>
      </c>
      <c r="D392" s="5">
        <v>57408052.170000002</v>
      </c>
      <c r="E392" s="5">
        <v>57408052.170000002</v>
      </c>
      <c r="F392" s="5">
        <v>57408052.170000002</v>
      </c>
      <c r="G392" s="5">
        <v>57408052.170000002</v>
      </c>
      <c r="I392" s="11">
        <f t="shared" si="22"/>
        <v>574.08052169999996</v>
      </c>
    </row>
    <row r="393" spans="1:9" x14ac:dyDescent="0.3">
      <c r="A393" s="3">
        <v>45930</v>
      </c>
      <c r="B393" t="s">
        <v>38</v>
      </c>
      <c r="C393" s="5">
        <v>59236381.348191231</v>
      </c>
      <c r="D393" s="5">
        <v>50263436.901067957</v>
      </c>
      <c r="E393" s="7">
        <v>60234820.376571096</v>
      </c>
      <c r="F393" s="5">
        <v>56501023.119856037</v>
      </c>
      <c r="G393" s="5">
        <v>62363748.452203922</v>
      </c>
      <c r="I393" s="11">
        <f t="shared" si="22"/>
        <v>592.3638134819123</v>
      </c>
    </row>
    <row r="394" spans="1:9" x14ac:dyDescent="0.3">
      <c r="A394" s="3">
        <v>46022</v>
      </c>
      <c r="B394" t="s">
        <v>38</v>
      </c>
      <c r="C394" s="5">
        <v>58106614.226737663</v>
      </c>
      <c r="D394" s="5">
        <v>51466492.762560911</v>
      </c>
      <c r="E394" s="7">
        <v>58055219.550662071</v>
      </c>
      <c r="F394" s="5">
        <v>55818664.950678043</v>
      </c>
      <c r="G394" s="5">
        <v>54746810.043518662</v>
      </c>
      <c r="I394" s="11">
        <f t="shared" si="22"/>
        <v>581.06614226737668</v>
      </c>
    </row>
    <row r="395" spans="1:9" x14ac:dyDescent="0.3">
      <c r="A395" s="3">
        <v>46112</v>
      </c>
      <c r="B395" t="s">
        <v>38</v>
      </c>
      <c r="C395" s="5">
        <v>60094316.042436004</v>
      </c>
      <c r="D395" s="5">
        <v>52643395.235760517</v>
      </c>
      <c r="E395" s="7">
        <v>61933818.017350957</v>
      </c>
      <c r="F395" s="5">
        <v>59361772.882384747</v>
      </c>
      <c r="G395" s="5">
        <v>56894303.068783477</v>
      </c>
      <c r="I395" s="11">
        <f t="shared" si="22"/>
        <v>600.94316042436003</v>
      </c>
    </row>
    <row r="396" spans="1:9" x14ac:dyDescent="0.3">
      <c r="A396" s="3">
        <v>46203</v>
      </c>
      <c r="B396" t="s">
        <v>38</v>
      </c>
      <c r="C396" s="5">
        <v>61905740.72477977</v>
      </c>
      <c r="D396" s="5">
        <v>53833374.403106801</v>
      </c>
      <c r="E396" s="7">
        <v>63168973.853322037</v>
      </c>
      <c r="F396" s="5">
        <v>62935655.471868873</v>
      </c>
      <c r="G396" s="5">
        <v>56491597.587004989</v>
      </c>
      <c r="I396" s="11">
        <f t="shared" si="22"/>
        <v>619.05740724779764</v>
      </c>
    </row>
    <row r="397" spans="1:9" x14ac:dyDescent="0.3">
      <c r="A397" s="3">
        <v>46295</v>
      </c>
      <c r="B397" t="s">
        <v>38</v>
      </c>
      <c r="C397" s="5">
        <v>65432159.397090748</v>
      </c>
      <c r="D397" s="5">
        <v>55036430.264599733</v>
      </c>
      <c r="E397" s="7">
        <v>66321537.185235798</v>
      </c>
      <c r="F397" s="5">
        <v>61390070.865038007</v>
      </c>
      <c r="G397" s="5">
        <v>65010326.804013699</v>
      </c>
      <c r="I397" s="11">
        <f t="shared" si="22"/>
        <v>654.32159397090743</v>
      </c>
    </row>
    <row r="398" spans="1:9" x14ac:dyDescent="0.3">
      <c r="A398" s="3">
        <v>45291</v>
      </c>
      <c r="B398" t="s">
        <v>39</v>
      </c>
      <c r="C398" s="5">
        <v>278354706.74000001</v>
      </c>
      <c r="D398" s="5">
        <v>278354706.74000001</v>
      </c>
      <c r="E398" s="5">
        <v>278354706.74000001</v>
      </c>
      <c r="F398" s="5">
        <v>278354706.74000001</v>
      </c>
      <c r="G398" s="5">
        <v>278354706.74000001</v>
      </c>
      <c r="I398" s="11">
        <f t="shared" si="22"/>
        <v>2783.5470674000003</v>
      </c>
    </row>
    <row r="399" spans="1:9" x14ac:dyDescent="0.3">
      <c r="A399" s="3">
        <v>45382</v>
      </c>
      <c r="B399" t="s">
        <v>39</v>
      </c>
      <c r="C399" s="5">
        <v>293365118.69</v>
      </c>
      <c r="D399" s="5">
        <v>293365118.69</v>
      </c>
      <c r="E399" s="5">
        <v>293365118.69</v>
      </c>
      <c r="F399" s="5">
        <v>293365118.69</v>
      </c>
      <c r="G399" s="5">
        <v>293365118.69</v>
      </c>
      <c r="I399" s="11">
        <f t="shared" si="22"/>
        <v>2933.6511869000001</v>
      </c>
    </row>
    <row r="400" spans="1:9" x14ac:dyDescent="0.3">
      <c r="A400" s="3">
        <v>45473</v>
      </c>
      <c r="B400" t="s">
        <v>39</v>
      </c>
      <c r="C400" s="5">
        <v>286485259.32999998</v>
      </c>
      <c r="D400" s="5">
        <v>286485259.32999998</v>
      </c>
      <c r="E400" s="5">
        <v>286485259.32999998</v>
      </c>
      <c r="F400" s="5">
        <v>286485259.32999998</v>
      </c>
      <c r="G400" s="5">
        <v>286485259.32999998</v>
      </c>
      <c r="I400" s="11">
        <f t="shared" si="22"/>
        <v>2864.8525932999996</v>
      </c>
    </row>
    <row r="401" spans="1:9" x14ac:dyDescent="0.3">
      <c r="A401" s="3">
        <v>45565</v>
      </c>
      <c r="B401" t="s">
        <v>39</v>
      </c>
      <c r="C401" s="5">
        <v>296086227.95999998</v>
      </c>
      <c r="D401" s="5">
        <v>296086227.95999998</v>
      </c>
      <c r="E401" s="5">
        <v>296086227.95999998</v>
      </c>
      <c r="F401" s="5">
        <v>296086227.95999998</v>
      </c>
      <c r="G401" s="5">
        <v>296086227.95999998</v>
      </c>
      <c r="I401" s="11">
        <f t="shared" si="22"/>
        <v>2960.8622796</v>
      </c>
    </row>
    <row r="402" spans="1:9" x14ac:dyDescent="0.3">
      <c r="A402" s="3">
        <v>45657</v>
      </c>
      <c r="B402" t="s">
        <v>39</v>
      </c>
      <c r="C402" s="5">
        <v>326268101.52999997</v>
      </c>
      <c r="D402" s="5">
        <v>326268101.52999997</v>
      </c>
      <c r="E402" s="5">
        <v>326268101.52999997</v>
      </c>
      <c r="F402" s="5">
        <v>326268101.52999997</v>
      </c>
      <c r="G402" s="5">
        <v>326268101.52999997</v>
      </c>
      <c r="I402" s="11">
        <f t="shared" si="22"/>
        <v>3262.6810152999997</v>
      </c>
    </row>
    <row r="403" spans="1:9" x14ac:dyDescent="0.3">
      <c r="A403" s="3">
        <v>45747</v>
      </c>
      <c r="B403" t="s">
        <v>39</v>
      </c>
      <c r="C403" s="5">
        <v>318181995.13999999</v>
      </c>
      <c r="D403" s="5">
        <v>318181995.13999999</v>
      </c>
      <c r="E403" s="5">
        <v>318181995.13999999</v>
      </c>
      <c r="F403" s="5">
        <v>318181995.13999999</v>
      </c>
      <c r="G403" s="5">
        <v>318181995.13999999</v>
      </c>
      <c r="I403" s="11">
        <f t="shared" si="22"/>
        <v>3181.8199513999998</v>
      </c>
    </row>
    <row r="404" spans="1:9" x14ac:dyDescent="0.3">
      <c r="A404" s="3">
        <v>45838</v>
      </c>
      <c r="B404" t="s">
        <v>39</v>
      </c>
      <c r="C404" s="5">
        <v>387700400.11000001</v>
      </c>
      <c r="D404" s="5">
        <v>387700400.11000001</v>
      </c>
      <c r="E404" s="5">
        <v>387700400.11000001</v>
      </c>
      <c r="F404" s="5">
        <v>387700400.11000001</v>
      </c>
      <c r="G404" s="5">
        <v>387700400.11000001</v>
      </c>
      <c r="I404" s="11">
        <f t="shared" si="22"/>
        <v>3877.0040011000001</v>
      </c>
    </row>
    <row r="405" spans="1:9" x14ac:dyDescent="0.3">
      <c r="A405" s="3">
        <v>45930</v>
      </c>
      <c r="B405" t="s">
        <v>39</v>
      </c>
      <c r="C405" s="7">
        <v>376009093.93081379</v>
      </c>
      <c r="D405" s="5">
        <v>262047608.31876701</v>
      </c>
      <c r="E405" s="5">
        <v>387543508.98196179</v>
      </c>
      <c r="F405" s="5">
        <v>319341263.33112818</v>
      </c>
      <c r="G405" s="5">
        <v>371222343.02147073</v>
      </c>
      <c r="I405" s="11">
        <f t="shared" si="22"/>
        <v>3760.0909393081379</v>
      </c>
    </row>
    <row r="406" spans="1:9" x14ac:dyDescent="0.3">
      <c r="A406" s="3">
        <v>46022</v>
      </c>
      <c r="B406" t="s">
        <v>39</v>
      </c>
      <c r="C406" s="7">
        <v>396590585.86358923</v>
      </c>
      <c r="D406" s="5">
        <v>264932917.927223</v>
      </c>
      <c r="E406" s="5">
        <v>440951716.7652989</v>
      </c>
      <c r="F406" s="5">
        <v>321914351.84444052</v>
      </c>
      <c r="G406" s="5">
        <v>372653764.93362772</v>
      </c>
      <c r="I406" s="11">
        <f t="shared" si="22"/>
        <v>3965.9058586358924</v>
      </c>
    </row>
    <row r="407" spans="1:9" x14ac:dyDescent="0.3">
      <c r="A407" s="3">
        <v>46112</v>
      </c>
      <c r="B407" t="s">
        <v>39</v>
      </c>
      <c r="C407" s="7">
        <v>357404433.7248078</v>
      </c>
      <c r="D407" s="5">
        <v>267755503.41375601</v>
      </c>
      <c r="E407" s="5">
        <v>433276624.22327608</v>
      </c>
      <c r="F407" s="5">
        <v>336183574.18352789</v>
      </c>
      <c r="G407" s="5">
        <v>374085186.84578478</v>
      </c>
      <c r="I407" s="11">
        <f t="shared" si="22"/>
        <v>3574.0443372480781</v>
      </c>
    </row>
    <row r="408" spans="1:9" x14ac:dyDescent="0.3">
      <c r="A408" s="3">
        <v>46203</v>
      </c>
      <c r="B408" t="s">
        <v>39</v>
      </c>
      <c r="C408" s="7">
        <v>382655500.52332699</v>
      </c>
      <c r="D408" s="5">
        <v>270609450.96125048</v>
      </c>
      <c r="E408" s="5">
        <v>461562014.11619031</v>
      </c>
      <c r="F408" s="5">
        <v>389086329.89323312</v>
      </c>
      <c r="G408" s="5">
        <v>375516608.75794178</v>
      </c>
      <c r="I408" s="11">
        <f t="shared" si="22"/>
        <v>3826.5550052332701</v>
      </c>
    </row>
    <row r="409" spans="1:9" x14ac:dyDescent="0.3">
      <c r="A409" s="3">
        <v>46295</v>
      </c>
      <c r="B409" t="s">
        <v>72</v>
      </c>
      <c r="C409" s="7">
        <v>374316174.0529632</v>
      </c>
      <c r="D409" s="5">
        <v>273494760.56970638</v>
      </c>
      <c r="E409" s="5">
        <v>453002842.90764582</v>
      </c>
      <c r="F409" s="5">
        <v>325569534.14812338</v>
      </c>
      <c r="G409" s="5">
        <v>376948030.6700989</v>
      </c>
      <c r="I409" s="11">
        <f t="shared" si="22"/>
        <v>3743.161740529632</v>
      </c>
    </row>
    <row r="410" spans="1:9" x14ac:dyDescent="0.3">
      <c r="A410" s="3">
        <v>45291</v>
      </c>
      <c r="B410" t="s">
        <v>40</v>
      </c>
      <c r="C410" s="5">
        <v>1113675940.6300001</v>
      </c>
      <c r="D410" s="5">
        <v>1113675940.6300001</v>
      </c>
      <c r="E410" s="5">
        <v>1113675940.6300001</v>
      </c>
      <c r="F410" s="5">
        <v>1113675940.6300001</v>
      </c>
      <c r="G410" s="5">
        <v>1113675940.6300001</v>
      </c>
      <c r="I410" s="11">
        <f t="shared" si="22"/>
        <v>11136.759406300002</v>
      </c>
    </row>
    <row r="411" spans="1:9" x14ac:dyDescent="0.3">
      <c r="A411" s="3">
        <v>45382</v>
      </c>
      <c r="B411" t="s">
        <v>40</v>
      </c>
      <c r="C411" s="5">
        <v>963530753.24000001</v>
      </c>
      <c r="D411" s="5">
        <v>963530753.24000001</v>
      </c>
      <c r="E411" s="5">
        <v>963530753.24000001</v>
      </c>
      <c r="F411" s="5">
        <v>963530753.24000001</v>
      </c>
      <c r="G411" s="5">
        <v>963530753.24000001</v>
      </c>
      <c r="I411" s="11">
        <f t="shared" si="22"/>
        <v>9635.3075324000001</v>
      </c>
    </row>
    <row r="412" spans="1:9" x14ac:dyDescent="0.3">
      <c r="A412" s="3">
        <v>45473</v>
      </c>
      <c r="B412" t="s">
        <v>40</v>
      </c>
      <c r="C412" s="5">
        <v>1233626661.4400001</v>
      </c>
      <c r="D412" s="5">
        <v>1233626661.4400001</v>
      </c>
      <c r="E412" s="5">
        <v>1233626661.4400001</v>
      </c>
      <c r="F412" s="5">
        <v>1233626661.4400001</v>
      </c>
      <c r="G412" s="5">
        <v>1233626661.4400001</v>
      </c>
      <c r="I412" s="11">
        <f t="shared" si="22"/>
        <v>12336.266614400001</v>
      </c>
    </row>
    <row r="413" spans="1:9" x14ac:dyDescent="0.3">
      <c r="A413" s="3">
        <v>45565</v>
      </c>
      <c r="B413" t="s">
        <v>40</v>
      </c>
      <c r="C413" s="5">
        <v>1129237012.5899999</v>
      </c>
      <c r="D413" s="5">
        <v>1129237012.5899999</v>
      </c>
      <c r="E413" s="5">
        <v>1129237012.5899999</v>
      </c>
      <c r="F413" s="5">
        <v>1129237012.5899999</v>
      </c>
      <c r="G413" s="5">
        <v>1129237012.5899999</v>
      </c>
      <c r="I413" s="11">
        <f t="shared" si="22"/>
        <v>11292.370125899999</v>
      </c>
    </row>
    <row r="414" spans="1:9" x14ac:dyDescent="0.3">
      <c r="A414" s="3">
        <v>45657</v>
      </c>
      <c r="B414" t="s">
        <v>40</v>
      </c>
      <c r="C414" s="5">
        <v>1228017027.3599999</v>
      </c>
      <c r="D414" s="5">
        <v>1228017027.3599999</v>
      </c>
      <c r="E414" s="5">
        <v>1228017027.3599999</v>
      </c>
      <c r="F414" s="5">
        <v>1228017027.3599999</v>
      </c>
      <c r="G414" s="5">
        <v>1228017027.3599999</v>
      </c>
      <c r="I414" s="11">
        <f t="shared" si="22"/>
        <v>12280.170273599999</v>
      </c>
    </row>
    <row r="415" spans="1:9" x14ac:dyDescent="0.3">
      <c r="A415" s="3">
        <v>45747</v>
      </c>
      <c r="B415" t="s">
        <v>40</v>
      </c>
      <c r="C415" s="5">
        <v>1155945197.47</v>
      </c>
      <c r="D415" s="5">
        <v>1155945197.47</v>
      </c>
      <c r="E415" s="5">
        <v>1155945197.47</v>
      </c>
      <c r="F415" s="5">
        <v>1155945197.47</v>
      </c>
      <c r="G415" s="5">
        <v>1155945197.47</v>
      </c>
      <c r="I415" s="11">
        <f t="shared" si="22"/>
        <v>11559.451974699999</v>
      </c>
    </row>
    <row r="416" spans="1:9" x14ac:dyDescent="0.3">
      <c r="A416" s="3">
        <v>45838</v>
      </c>
      <c r="B416" t="s">
        <v>40</v>
      </c>
      <c r="C416" s="5">
        <v>1293963022.3699999</v>
      </c>
      <c r="D416" s="5">
        <v>1293963022.3699999</v>
      </c>
      <c r="E416" s="5">
        <v>1293963022.3699999</v>
      </c>
      <c r="F416" s="5">
        <v>1293963022.3699999</v>
      </c>
      <c r="G416" s="5">
        <v>1293963022.3699999</v>
      </c>
      <c r="I416" s="11">
        <f t="shared" si="22"/>
        <v>12939.630223699998</v>
      </c>
    </row>
    <row r="417" spans="1:9" x14ac:dyDescent="0.3">
      <c r="A417" s="3">
        <v>45930</v>
      </c>
      <c r="B417" t="s">
        <v>40</v>
      </c>
      <c r="C417" s="7">
        <v>1204903403.834249</v>
      </c>
      <c r="D417" s="5">
        <v>1145786750.952569</v>
      </c>
      <c r="E417" s="5">
        <v>1127066636.4545591</v>
      </c>
      <c r="F417" s="5">
        <v>1072795346.9741859</v>
      </c>
      <c r="G417" s="5">
        <v>1221108749.8442471</v>
      </c>
      <c r="I417" s="11">
        <f t="shared" si="22"/>
        <v>12049.03403834249</v>
      </c>
    </row>
    <row r="418" spans="1:9" x14ac:dyDescent="0.3">
      <c r="A418" s="3">
        <v>46022</v>
      </c>
      <c r="B418" t="s">
        <v>40</v>
      </c>
      <c r="C418" s="7">
        <v>1339533417.473572</v>
      </c>
      <c r="D418" s="5">
        <v>1159990072.020807</v>
      </c>
      <c r="E418" s="5">
        <v>1305129710.167536</v>
      </c>
      <c r="F418" s="5">
        <v>1281107093.6264091</v>
      </c>
      <c r="G418" s="5">
        <v>1400435510.085736</v>
      </c>
      <c r="I418" s="11">
        <f t="shared" si="22"/>
        <v>13395.334174735721</v>
      </c>
    </row>
    <row r="419" spans="1:9" x14ac:dyDescent="0.3">
      <c r="A419" s="3">
        <v>46112</v>
      </c>
      <c r="B419" t="s">
        <v>40</v>
      </c>
      <c r="C419" s="7">
        <v>1239967547.361835</v>
      </c>
      <c r="D419" s="5">
        <v>1173884625.2397339</v>
      </c>
      <c r="E419" s="5">
        <v>1223070324.950479</v>
      </c>
      <c r="F419" s="5">
        <v>1187546367.9216161</v>
      </c>
      <c r="G419" s="5">
        <v>1218898332.773268</v>
      </c>
      <c r="I419" s="11">
        <f t="shared" si="22"/>
        <v>12399.67547361835</v>
      </c>
    </row>
    <row r="420" spans="1:9" x14ac:dyDescent="0.3">
      <c r="A420" s="3">
        <v>46203</v>
      </c>
      <c r="B420" t="s">
        <v>40</v>
      </c>
      <c r="C420" s="7">
        <v>1305111233.4523349</v>
      </c>
      <c r="D420" s="5">
        <v>1187933562.383317</v>
      </c>
      <c r="E420" s="5">
        <v>1316641263.999079</v>
      </c>
      <c r="F420" s="5">
        <v>1263319767.8699269</v>
      </c>
      <c r="G420" s="5">
        <v>1322146580.706208</v>
      </c>
      <c r="I420" s="11">
        <f t="shared" ref="I420:I483" si="23">C420/100000</f>
        <v>13051.112334523348</v>
      </c>
    </row>
    <row r="421" spans="1:9" x14ac:dyDescent="0.3">
      <c r="A421" s="3">
        <v>46295</v>
      </c>
      <c r="B421" t="s">
        <v>73</v>
      </c>
      <c r="C421" s="7">
        <v>1226840320.1450751</v>
      </c>
      <c r="D421" s="5">
        <v>1202136883.4515531</v>
      </c>
      <c r="E421" s="5">
        <v>1218582705.265065</v>
      </c>
      <c r="F421" s="5">
        <v>1131618309.345921</v>
      </c>
      <c r="G421" s="5">
        <v>1247633344.9982381</v>
      </c>
      <c r="I421" s="11">
        <f t="shared" si="23"/>
        <v>12268.40320145075</v>
      </c>
    </row>
    <row r="422" spans="1:9" x14ac:dyDescent="0.3">
      <c r="A422" s="3">
        <v>45291</v>
      </c>
      <c r="B422" t="s">
        <v>41</v>
      </c>
      <c r="C422" s="5">
        <v>356520502.60000002</v>
      </c>
      <c r="D422" s="5">
        <v>356520502.60000002</v>
      </c>
      <c r="E422" s="5">
        <v>356520502.60000002</v>
      </c>
      <c r="F422" s="5">
        <v>356520502.60000002</v>
      </c>
      <c r="G422" s="5">
        <v>356520502.60000002</v>
      </c>
      <c r="I422" s="11">
        <f t="shared" si="23"/>
        <v>3565.2050260000001</v>
      </c>
    </row>
    <row r="423" spans="1:9" x14ac:dyDescent="0.3">
      <c r="A423" s="3">
        <v>45382</v>
      </c>
      <c r="B423" t="s">
        <v>74</v>
      </c>
      <c r="C423" s="5">
        <v>341274240</v>
      </c>
      <c r="D423" s="5">
        <v>341274240</v>
      </c>
      <c r="E423" s="5">
        <v>341274240</v>
      </c>
      <c r="F423" s="5">
        <v>341274240</v>
      </c>
      <c r="G423" s="5">
        <v>341274240</v>
      </c>
      <c r="I423" s="11">
        <f t="shared" si="23"/>
        <v>3412.7424000000001</v>
      </c>
    </row>
    <row r="424" spans="1:9" x14ac:dyDescent="0.3">
      <c r="A424" s="3">
        <v>45473</v>
      </c>
      <c r="B424" t="s">
        <v>41</v>
      </c>
      <c r="C424" s="5">
        <v>433761183</v>
      </c>
      <c r="D424" s="5">
        <v>433761183</v>
      </c>
      <c r="E424" s="5">
        <v>433761183</v>
      </c>
      <c r="F424" s="5">
        <v>433761183</v>
      </c>
      <c r="G424" s="5">
        <v>433761183</v>
      </c>
      <c r="I424" s="11">
        <f t="shared" si="23"/>
        <v>4337.6118299999998</v>
      </c>
    </row>
    <row r="425" spans="1:9" x14ac:dyDescent="0.3">
      <c r="A425" s="3">
        <v>45565</v>
      </c>
      <c r="B425" t="s">
        <v>41</v>
      </c>
      <c r="C425" s="5">
        <v>331367604.44999999</v>
      </c>
      <c r="D425" s="5">
        <v>331367604.44999999</v>
      </c>
      <c r="E425" s="5">
        <v>331367604.44999999</v>
      </c>
      <c r="F425" s="5">
        <v>331367604.44999999</v>
      </c>
      <c r="G425" s="5">
        <v>331367604.44999999</v>
      </c>
      <c r="I425" s="11">
        <f t="shared" si="23"/>
        <v>3313.6760445</v>
      </c>
    </row>
    <row r="426" spans="1:9" x14ac:dyDescent="0.3">
      <c r="A426" s="3">
        <v>45657</v>
      </c>
      <c r="B426" t="s">
        <v>41</v>
      </c>
      <c r="C426" s="5">
        <v>470844343.55000001</v>
      </c>
      <c r="D426" s="5">
        <v>470844343.55000001</v>
      </c>
      <c r="E426" s="5">
        <v>470844343.55000001</v>
      </c>
      <c r="F426" s="5">
        <v>470844343.55000001</v>
      </c>
      <c r="G426" s="5">
        <v>470844343.55000001</v>
      </c>
      <c r="I426" s="11">
        <f t="shared" si="23"/>
        <v>4708.4434355000003</v>
      </c>
    </row>
    <row r="427" spans="1:9" x14ac:dyDescent="0.3">
      <c r="A427" s="3">
        <v>45747</v>
      </c>
      <c r="B427" t="s">
        <v>41</v>
      </c>
      <c r="C427" s="5">
        <v>457428128</v>
      </c>
      <c r="D427" s="5">
        <v>457428128</v>
      </c>
      <c r="E427" s="5">
        <v>457428128</v>
      </c>
      <c r="F427" s="5">
        <v>457428128</v>
      </c>
      <c r="G427" s="5">
        <v>457428128</v>
      </c>
      <c r="I427" s="11">
        <f t="shared" si="23"/>
        <v>4574.2812800000002</v>
      </c>
    </row>
    <row r="428" spans="1:9" x14ac:dyDescent="0.3">
      <c r="A428" s="3">
        <v>45838</v>
      </c>
      <c r="B428" t="s">
        <v>41</v>
      </c>
      <c r="C428" s="5">
        <v>522820363</v>
      </c>
      <c r="D428" s="5">
        <v>522820363</v>
      </c>
      <c r="E428" s="5">
        <v>522820363</v>
      </c>
      <c r="F428" s="5">
        <v>522820363</v>
      </c>
      <c r="G428" s="5">
        <v>522820363</v>
      </c>
      <c r="I428" s="11">
        <f t="shared" si="23"/>
        <v>5228.20363</v>
      </c>
    </row>
    <row r="429" spans="1:9" x14ac:dyDescent="0.3">
      <c r="A429" s="3">
        <v>45930</v>
      </c>
      <c r="B429" t="s">
        <v>41</v>
      </c>
      <c r="C429" s="7">
        <v>440798891.27312613</v>
      </c>
      <c r="D429" s="5">
        <v>435291819.68544853</v>
      </c>
      <c r="E429" s="5">
        <v>448283289.81634158</v>
      </c>
      <c r="F429" s="5">
        <v>453396018.59454632</v>
      </c>
      <c r="G429" s="5">
        <v>455871108.63620412</v>
      </c>
      <c r="I429" s="11">
        <f t="shared" si="23"/>
        <v>4407.9889127312608</v>
      </c>
    </row>
    <row r="430" spans="1:9" x14ac:dyDescent="0.3">
      <c r="A430" s="3">
        <v>46022</v>
      </c>
      <c r="B430" t="s">
        <v>41</v>
      </c>
      <c r="C430" s="7">
        <v>561405840.12795758</v>
      </c>
      <c r="D430" s="5">
        <v>446924460.1573441</v>
      </c>
      <c r="E430" s="5">
        <v>569344140.46325529</v>
      </c>
      <c r="F430" s="5">
        <v>573399243.66623354</v>
      </c>
      <c r="G430" s="5">
        <v>572205286.64619195</v>
      </c>
      <c r="I430" s="11">
        <f t="shared" si="23"/>
        <v>5614.0584012795762</v>
      </c>
    </row>
    <row r="431" spans="1:9" x14ac:dyDescent="0.3">
      <c r="A431" s="3">
        <v>46112</v>
      </c>
      <c r="B431" t="s">
        <v>41</v>
      </c>
      <c r="C431" s="7">
        <v>546378229.54285371</v>
      </c>
      <c r="D431" s="5">
        <v>458304217.14072019</v>
      </c>
      <c r="E431" s="5">
        <v>556023589.84936869</v>
      </c>
      <c r="F431" s="5">
        <v>556901885.14668429</v>
      </c>
      <c r="G431" s="5">
        <v>464747203.39241362</v>
      </c>
      <c r="I431" s="11">
        <f t="shared" si="23"/>
        <v>5463.7822954285375</v>
      </c>
    </row>
    <row r="432" spans="1:9" x14ac:dyDescent="0.3">
      <c r="A432" s="3">
        <v>46203</v>
      </c>
      <c r="B432" t="s">
        <v>41</v>
      </c>
      <c r="C432" s="7">
        <v>599715094.59693301</v>
      </c>
      <c r="D432" s="5">
        <v>469810415.86835611</v>
      </c>
      <c r="E432" s="5">
        <v>622821177.54907</v>
      </c>
      <c r="F432" s="5">
        <v>621601557.54299152</v>
      </c>
      <c r="G432" s="5">
        <v>531169395.26390982</v>
      </c>
      <c r="I432" s="11">
        <f t="shared" si="23"/>
        <v>5997.1509459693298</v>
      </c>
    </row>
    <row r="433" spans="1:9" x14ac:dyDescent="0.3">
      <c r="A433" s="3">
        <v>46295</v>
      </c>
      <c r="B433" t="s">
        <v>41</v>
      </c>
      <c r="C433" s="7">
        <v>527957911.4509145</v>
      </c>
      <c r="D433" s="5">
        <v>481443056.34025162</v>
      </c>
      <c r="E433" s="5">
        <v>546344845.40976906</v>
      </c>
      <c r="G433" s="5">
        <v>467670699.7911576</v>
      </c>
      <c r="I433" s="11">
        <f t="shared" si="23"/>
        <v>5279.5791145091453</v>
      </c>
    </row>
    <row r="434" spans="1:9" x14ac:dyDescent="0.3">
      <c r="A434" s="3">
        <v>45291</v>
      </c>
      <c r="B434" t="s">
        <v>42</v>
      </c>
      <c r="C434" s="5">
        <v>355687503.41000003</v>
      </c>
      <c r="D434" s="5">
        <v>355687503.41000003</v>
      </c>
      <c r="E434" s="5">
        <v>355687503.41000003</v>
      </c>
      <c r="F434" s="5">
        <v>355687503.41000003</v>
      </c>
      <c r="G434" s="5">
        <v>355687503.41000003</v>
      </c>
      <c r="I434" s="11">
        <f t="shared" si="23"/>
        <v>3556.8750341000004</v>
      </c>
    </row>
    <row r="435" spans="1:9" x14ac:dyDescent="0.3">
      <c r="A435" s="3">
        <v>45382</v>
      </c>
      <c r="B435" t="s">
        <v>42</v>
      </c>
      <c r="C435" s="5">
        <v>411754369.10000002</v>
      </c>
      <c r="D435" s="5">
        <v>411754369.10000002</v>
      </c>
      <c r="E435" s="5">
        <v>411754369.10000002</v>
      </c>
      <c r="F435" s="5">
        <v>411754369.10000002</v>
      </c>
      <c r="G435" s="5">
        <v>411754369.10000002</v>
      </c>
      <c r="I435" s="11">
        <f t="shared" si="23"/>
        <v>4117.5436909999999</v>
      </c>
    </row>
    <row r="436" spans="1:9" x14ac:dyDescent="0.3">
      <c r="A436" s="3">
        <v>45473</v>
      </c>
      <c r="B436" t="s">
        <v>42</v>
      </c>
      <c r="C436" s="5">
        <v>447979277.57999998</v>
      </c>
      <c r="D436" s="5">
        <v>447979277.57999998</v>
      </c>
      <c r="E436" s="5">
        <v>447979277.57999998</v>
      </c>
      <c r="F436" s="5">
        <v>447979277.57999998</v>
      </c>
      <c r="G436" s="5">
        <v>447979277.57999998</v>
      </c>
      <c r="I436" s="11">
        <f t="shared" si="23"/>
        <v>4479.7927757999996</v>
      </c>
    </row>
    <row r="437" spans="1:9" x14ac:dyDescent="0.3">
      <c r="A437" s="3">
        <v>45565</v>
      </c>
      <c r="B437" t="s">
        <v>42</v>
      </c>
      <c r="C437" s="5">
        <v>533949661.67000002</v>
      </c>
      <c r="D437" s="5">
        <v>533949661.67000002</v>
      </c>
      <c r="E437" s="5">
        <v>533949661.67000002</v>
      </c>
      <c r="F437" s="5">
        <v>533949661.67000002</v>
      </c>
      <c r="G437" s="5">
        <v>533949661.67000002</v>
      </c>
      <c r="I437" s="11">
        <f t="shared" si="23"/>
        <v>5339.4966167000002</v>
      </c>
    </row>
    <row r="438" spans="1:9" x14ac:dyDescent="0.3">
      <c r="A438" s="3">
        <v>45657</v>
      </c>
      <c r="B438" t="s">
        <v>42</v>
      </c>
      <c r="C438" s="5">
        <v>404112438.18000001</v>
      </c>
      <c r="D438" s="5">
        <v>404112438.18000001</v>
      </c>
      <c r="E438" s="5">
        <v>404112438.18000001</v>
      </c>
      <c r="F438" s="5">
        <v>404112438.18000001</v>
      </c>
      <c r="G438" s="5">
        <v>404112438.18000001</v>
      </c>
      <c r="I438" s="11">
        <f t="shared" si="23"/>
        <v>4041.1243818000003</v>
      </c>
    </row>
    <row r="439" spans="1:9" x14ac:dyDescent="0.3">
      <c r="A439" s="3">
        <v>45747</v>
      </c>
      <c r="B439" t="s">
        <v>42</v>
      </c>
      <c r="C439" s="5">
        <v>467269123.44</v>
      </c>
      <c r="D439" s="5">
        <v>467269123.44</v>
      </c>
      <c r="E439" s="5">
        <v>467269123.44</v>
      </c>
      <c r="F439" s="5">
        <v>467269123.44</v>
      </c>
      <c r="G439" s="5">
        <v>467269123.44</v>
      </c>
      <c r="I439" s="11">
        <f t="shared" si="23"/>
        <v>4672.6912344000002</v>
      </c>
    </row>
    <row r="440" spans="1:9" x14ac:dyDescent="0.3">
      <c r="A440" s="3">
        <v>45838</v>
      </c>
      <c r="B440" t="s">
        <v>42</v>
      </c>
      <c r="C440" s="5">
        <v>475031717.63</v>
      </c>
      <c r="D440" s="5">
        <v>475031717.63</v>
      </c>
      <c r="E440" s="5">
        <v>475031717.63</v>
      </c>
      <c r="F440" s="5">
        <v>475031717.63</v>
      </c>
      <c r="G440" s="5">
        <v>475031717.63</v>
      </c>
      <c r="I440" s="11">
        <f t="shared" si="23"/>
        <v>4750.3171763</v>
      </c>
    </row>
    <row r="441" spans="1:9" x14ac:dyDescent="0.3">
      <c r="A441" s="3">
        <v>45930</v>
      </c>
      <c r="B441" t="s">
        <v>42</v>
      </c>
      <c r="C441" s="6">
        <v>570413364.79168499</v>
      </c>
      <c r="D441" s="5">
        <v>478431344.30419362</v>
      </c>
      <c r="E441" s="5">
        <v>562374045.50625026</v>
      </c>
      <c r="F441" s="5">
        <v>563276356.65869415</v>
      </c>
      <c r="G441" s="5">
        <v>567650264.37565815</v>
      </c>
      <c r="I441" s="11">
        <f t="shared" si="23"/>
        <v>5704.1336479168494</v>
      </c>
    </row>
    <row r="442" spans="1:9" x14ac:dyDescent="0.3">
      <c r="A442" s="3">
        <v>46022</v>
      </c>
      <c r="B442" t="s">
        <v>42</v>
      </c>
      <c r="C442" s="6">
        <v>454287465.19358188</v>
      </c>
      <c r="D442" s="5">
        <v>480550049.7584641</v>
      </c>
      <c r="E442" s="5">
        <v>442148150.70787537</v>
      </c>
      <c r="F442" s="5">
        <v>433509785.08657789</v>
      </c>
      <c r="G442" s="5">
        <v>425067656.26828861</v>
      </c>
      <c r="I442" s="11">
        <f t="shared" si="23"/>
        <v>4542.8746519358192</v>
      </c>
    </row>
    <row r="443" spans="1:9" x14ac:dyDescent="0.3">
      <c r="A443" s="3">
        <v>46112</v>
      </c>
      <c r="B443" t="s">
        <v>42</v>
      </c>
      <c r="C443" s="6">
        <v>471071303.03410268</v>
      </c>
      <c r="D443" s="5">
        <v>482622696.39851141</v>
      </c>
      <c r="E443" s="5">
        <v>494894295.96953231</v>
      </c>
      <c r="F443" s="5">
        <v>484699727.16137111</v>
      </c>
      <c r="G443" s="5">
        <v>442750081.45309907</v>
      </c>
      <c r="I443" s="11">
        <f t="shared" si="23"/>
        <v>4710.7130303410268</v>
      </c>
    </row>
    <row r="444" spans="1:9" x14ac:dyDescent="0.3">
      <c r="A444" s="3">
        <v>46203</v>
      </c>
      <c r="B444" t="s">
        <v>42</v>
      </c>
      <c r="C444" s="6">
        <v>491463970.40819943</v>
      </c>
      <c r="D444" s="5">
        <v>484718372.44567019</v>
      </c>
      <c r="E444" s="5">
        <v>506083054.228441</v>
      </c>
      <c r="F444" s="5">
        <v>507911469.76050651</v>
      </c>
      <c r="G444" s="5">
        <v>465968972.72208291</v>
      </c>
      <c r="I444" s="11">
        <f t="shared" si="23"/>
        <v>4914.6397040819938</v>
      </c>
    </row>
    <row r="445" spans="1:9" x14ac:dyDescent="0.3">
      <c r="A445" s="3">
        <v>46295</v>
      </c>
      <c r="B445" t="s">
        <v>75</v>
      </c>
      <c r="C445" s="6">
        <v>582060583.0967865</v>
      </c>
      <c r="D445" s="5">
        <v>486837077.89994073</v>
      </c>
      <c r="E445" s="5">
        <v>569147228.38100553</v>
      </c>
      <c r="F445" s="5">
        <v>584386377.86818337</v>
      </c>
      <c r="G445" s="5">
        <v>572957451.36992896</v>
      </c>
      <c r="I445" s="11">
        <f t="shared" si="23"/>
        <v>5820.6058309678647</v>
      </c>
    </row>
    <row r="446" spans="1:9" x14ac:dyDescent="0.3">
      <c r="A446" s="3">
        <v>45291</v>
      </c>
      <c r="B446" t="s">
        <v>43</v>
      </c>
      <c r="C446" s="5">
        <v>32790367.140000001</v>
      </c>
      <c r="D446" s="5">
        <v>32790367.140000001</v>
      </c>
      <c r="E446" s="5">
        <v>32790367.140000001</v>
      </c>
      <c r="F446" s="5">
        <v>32790367.140000001</v>
      </c>
      <c r="G446" s="5">
        <v>32790367.140000001</v>
      </c>
      <c r="I446" s="11">
        <f t="shared" si="23"/>
        <v>327.90367140000001</v>
      </c>
    </row>
    <row r="447" spans="1:9" x14ac:dyDescent="0.3">
      <c r="A447" s="3">
        <v>45382</v>
      </c>
      <c r="B447" t="s">
        <v>43</v>
      </c>
      <c r="C447" s="5">
        <v>37336675.289999999</v>
      </c>
      <c r="D447" s="5">
        <v>37336675.289999999</v>
      </c>
      <c r="E447" s="5">
        <v>37336675.289999999</v>
      </c>
      <c r="F447" s="5">
        <v>37336675.289999999</v>
      </c>
      <c r="G447" s="5">
        <v>37336675.289999999</v>
      </c>
      <c r="I447" s="11">
        <f t="shared" si="23"/>
        <v>373.36675289999999</v>
      </c>
    </row>
    <row r="448" spans="1:9" x14ac:dyDescent="0.3">
      <c r="A448" s="3">
        <v>45473</v>
      </c>
      <c r="B448" t="s">
        <v>43</v>
      </c>
      <c r="C448" s="5">
        <v>39538032.479999997</v>
      </c>
      <c r="D448" s="5">
        <v>39538032.479999997</v>
      </c>
      <c r="E448" s="5">
        <v>39538032.479999997</v>
      </c>
      <c r="F448" s="5">
        <v>39538032.479999997</v>
      </c>
      <c r="G448" s="5">
        <v>39538032.479999997</v>
      </c>
      <c r="I448" s="11">
        <f t="shared" si="23"/>
        <v>395.38032479999998</v>
      </c>
    </row>
    <row r="449" spans="1:9" x14ac:dyDescent="0.3">
      <c r="A449" s="3">
        <v>45565</v>
      </c>
      <c r="B449" t="s">
        <v>43</v>
      </c>
      <c r="C449" s="5">
        <v>36546361.390000001</v>
      </c>
      <c r="D449" s="5">
        <v>36546361.390000001</v>
      </c>
      <c r="E449" s="5">
        <v>36546361.390000001</v>
      </c>
      <c r="F449" s="5">
        <v>36546361.390000001</v>
      </c>
      <c r="G449" s="5">
        <v>36546361.390000001</v>
      </c>
      <c r="I449" s="11">
        <f t="shared" si="23"/>
        <v>365.46361389999998</v>
      </c>
    </row>
    <row r="450" spans="1:9" x14ac:dyDescent="0.3">
      <c r="A450" s="3">
        <v>45657</v>
      </c>
      <c r="B450" t="s">
        <v>43</v>
      </c>
      <c r="C450" s="5">
        <v>43716588.090000004</v>
      </c>
      <c r="D450" s="5">
        <v>43716588.090000004</v>
      </c>
      <c r="E450" s="5">
        <v>43716588.090000004</v>
      </c>
      <c r="F450" s="5">
        <v>43716588.090000004</v>
      </c>
      <c r="G450" s="5">
        <v>43716588.090000004</v>
      </c>
      <c r="I450" s="11">
        <f t="shared" si="23"/>
        <v>437.16588090000005</v>
      </c>
    </row>
    <row r="451" spans="1:9" x14ac:dyDescent="0.3">
      <c r="A451" s="3">
        <v>45747</v>
      </c>
      <c r="B451" t="s">
        <v>43</v>
      </c>
      <c r="C451" s="5">
        <v>48851407.840000004</v>
      </c>
      <c r="D451" s="5">
        <v>48851407.840000004</v>
      </c>
      <c r="E451" s="5">
        <v>48851407.840000004</v>
      </c>
      <c r="F451" s="5">
        <v>48851407.840000004</v>
      </c>
      <c r="G451" s="5">
        <v>48851407.840000004</v>
      </c>
      <c r="I451" s="11">
        <f t="shared" si="23"/>
        <v>488.51407840000002</v>
      </c>
    </row>
    <row r="452" spans="1:9" x14ac:dyDescent="0.3">
      <c r="A452" s="3">
        <v>45838</v>
      </c>
      <c r="B452" t="s">
        <v>43</v>
      </c>
      <c r="C452" s="5">
        <v>47021148.049999997</v>
      </c>
      <c r="D452" s="5">
        <v>47021148.049999997</v>
      </c>
      <c r="E452" s="5">
        <v>47021148.049999997</v>
      </c>
      <c r="F452" s="5">
        <v>47021148.049999997</v>
      </c>
      <c r="G452" s="5">
        <v>47021148.049999997</v>
      </c>
      <c r="I452" s="11">
        <f t="shared" si="23"/>
        <v>470.21148049999999</v>
      </c>
    </row>
    <row r="453" spans="1:9" x14ac:dyDescent="0.3">
      <c r="A453" s="3">
        <v>45930</v>
      </c>
      <c r="B453" t="s">
        <v>43</v>
      </c>
      <c r="C453" s="5">
        <v>45667008.92491357</v>
      </c>
      <c r="D453" s="5">
        <v>44677673.558820911</v>
      </c>
      <c r="E453" s="7">
        <v>45895929.508201398</v>
      </c>
      <c r="F453" s="5">
        <v>44444513.47902225</v>
      </c>
      <c r="G453" s="5">
        <v>47229515.019908734</v>
      </c>
      <c r="I453" s="11">
        <f t="shared" si="23"/>
        <v>456.67008924913569</v>
      </c>
    </row>
    <row r="454" spans="1:9" x14ac:dyDescent="0.3">
      <c r="A454" s="3">
        <v>46022</v>
      </c>
      <c r="B454" t="s">
        <v>43</v>
      </c>
      <c r="C454" s="5">
        <v>48094563.531843632</v>
      </c>
      <c r="D454" s="5">
        <v>45179500.009287767</v>
      </c>
      <c r="E454" s="7">
        <v>48955853.215510003</v>
      </c>
      <c r="F454" s="5">
        <v>41498846.737046354</v>
      </c>
      <c r="G454" s="5">
        <v>47480329.241768382</v>
      </c>
      <c r="I454" s="11">
        <f t="shared" si="23"/>
        <v>480.9456353184363</v>
      </c>
    </row>
    <row r="455" spans="1:9" x14ac:dyDescent="0.3">
      <c r="A455" s="3">
        <v>46112</v>
      </c>
      <c r="B455" t="s">
        <v>43</v>
      </c>
      <c r="C455" s="5">
        <v>47595350.613195367</v>
      </c>
      <c r="D455" s="5">
        <v>45670417.189092301</v>
      </c>
      <c r="E455" s="7">
        <v>51743456.633511633</v>
      </c>
      <c r="F455" s="5">
        <v>49948867.019697428</v>
      </c>
      <c r="G455" s="5">
        <v>47731143.463628039</v>
      </c>
      <c r="I455" s="11">
        <f t="shared" si="23"/>
        <v>475.95350613195365</v>
      </c>
    </row>
    <row r="456" spans="1:9" x14ac:dyDescent="0.3">
      <c r="A456" s="3">
        <v>46203</v>
      </c>
      <c r="B456" t="s">
        <v>43</v>
      </c>
      <c r="C456" s="5">
        <v>53119539.273512602</v>
      </c>
      <c r="D456" s="5">
        <v>46166789.004228003</v>
      </c>
      <c r="E456" s="7">
        <v>50806887.896476477</v>
      </c>
      <c r="F456" s="5">
        <v>53242929.571739808</v>
      </c>
      <c r="G456" s="5">
        <v>47981957.685487702</v>
      </c>
      <c r="I456" s="11">
        <f t="shared" si="23"/>
        <v>531.19539273512601</v>
      </c>
    </row>
    <row r="457" spans="1:9" x14ac:dyDescent="0.3">
      <c r="A457" s="3">
        <v>46295</v>
      </c>
      <c r="B457" t="s">
        <v>76</v>
      </c>
      <c r="C457" s="5">
        <v>49944022.392472938</v>
      </c>
      <c r="D457" s="5">
        <v>46668615.454694867</v>
      </c>
      <c r="E457" s="7">
        <v>48156443.757843047</v>
      </c>
      <c r="F457" s="5">
        <v>47560470.348457471</v>
      </c>
      <c r="G457" s="5">
        <v>48232771.907347351</v>
      </c>
      <c r="I457" s="11">
        <f t="shared" si="23"/>
        <v>499.44022392472937</v>
      </c>
    </row>
    <row r="458" spans="1:9" x14ac:dyDescent="0.3">
      <c r="A458" s="3">
        <v>45291</v>
      </c>
      <c r="B458" t="s">
        <v>78</v>
      </c>
      <c r="C458" s="5">
        <v>50738839.82</v>
      </c>
      <c r="D458" s="5">
        <v>50738839.82</v>
      </c>
      <c r="E458" s="5">
        <v>50738839.82</v>
      </c>
      <c r="F458" s="5">
        <v>50738839.82</v>
      </c>
      <c r="G458" s="5">
        <v>50738839.82</v>
      </c>
      <c r="I458" s="11">
        <f t="shared" si="23"/>
        <v>507.38839819999998</v>
      </c>
    </row>
    <row r="459" spans="1:9" x14ac:dyDescent="0.3">
      <c r="A459" s="3">
        <v>45382</v>
      </c>
      <c r="B459" t="s">
        <v>44</v>
      </c>
      <c r="C459" s="5">
        <v>51028311.859999999</v>
      </c>
      <c r="D459" s="5">
        <v>51028311.859999999</v>
      </c>
      <c r="E459" s="5">
        <v>51028311.859999999</v>
      </c>
      <c r="F459" s="5">
        <v>51028311.859999999</v>
      </c>
      <c r="G459" s="5">
        <v>51028311.859999999</v>
      </c>
      <c r="I459" s="11">
        <f t="shared" si="23"/>
        <v>510.28311859999997</v>
      </c>
    </row>
    <row r="460" spans="1:9" x14ac:dyDescent="0.3">
      <c r="A460" s="3">
        <v>45473</v>
      </c>
      <c r="B460" t="s">
        <v>44</v>
      </c>
      <c r="C460" s="5">
        <v>52480998.259999998</v>
      </c>
      <c r="D460" s="5">
        <v>52480998.259999998</v>
      </c>
      <c r="E460" s="5">
        <v>52480998.259999998</v>
      </c>
      <c r="F460" s="5">
        <v>52480998.259999998</v>
      </c>
      <c r="G460" s="5">
        <v>52480998.259999998</v>
      </c>
      <c r="I460" s="11">
        <f t="shared" si="23"/>
        <v>524.80998260000001</v>
      </c>
    </row>
    <row r="461" spans="1:9" x14ac:dyDescent="0.3">
      <c r="A461" s="3">
        <v>45565</v>
      </c>
      <c r="B461" t="s">
        <v>44</v>
      </c>
      <c r="C461" s="5">
        <v>50339560.810000002</v>
      </c>
      <c r="D461" s="5">
        <v>50339560.810000002</v>
      </c>
      <c r="E461" s="5">
        <v>50339560.810000002</v>
      </c>
      <c r="F461" s="5">
        <v>50339560.810000002</v>
      </c>
      <c r="G461" s="5">
        <v>50339560.810000002</v>
      </c>
      <c r="I461" s="11">
        <f t="shared" si="23"/>
        <v>503.3956081</v>
      </c>
    </row>
    <row r="462" spans="1:9" x14ac:dyDescent="0.3">
      <c r="A462" s="3">
        <v>45657</v>
      </c>
      <c r="B462" t="s">
        <v>44</v>
      </c>
      <c r="C462" s="5">
        <v>48063558.770000003</v>
      </c>
      <c r="D462" s="5">
        <v>48063558.770000003</v>
      </c>
      <c r="E462" s="5">
        <v>48063558.770000003</v>
      </c>
      <c r="F462" s="5">
        <v>48063558.770000003</v>
      </c>
      <c r="G462" s="5">
        <v>48063558.770000003</v>
      </c>
      <c r="I462" s="11">
        <f t="shared" si="23"/>
        <v>480.63558770000003</v>
      </c>
    </row>
    <row r="463" spans="1:9" x14ac:dyDescent="0.3">
      <c r="A463" s="3">
        <v>45747</v>
      </c>
      <c r="B463" t="s">
        <v>44</v>
      </c>
      <c r="C463" s="5">
        <v>53232656.409999996</v>
      </c>
      <c r="D463" s="5">
        <v>53232656.409999996</v>
      </c>
      <c r="E463" s="5">
        <v>53232656.409999996</v>
      </c>
      <c r="F463" s="5">
        <v>53232656.409999996</v>
      </c>
      <c r="G463" s="5">
        <v>53232656.409999996</v>
      </c>
      <c r="I463" s="11">
        <f t="shared" si="23"/>
        <v>532.32656409999993</v>
      </c>
    </row>
    <row r="464" spans="1:9" x14ac:dyDescent="0.3">
      <c r="A464" s="3">
        <v>45838</v>
      </c>
      <c r="B464" t="s">
        <v>44</v>
      </c>
      <c r="C464" s="5">
        <v>48684508.170000002</v>
      </c>
      <c r="D464" s="5">
        <v>48684508.170000002</v>
      </c>
      <c r="E464" s="5">
        <v>48684508.170000002</v>
      </c>
      <c r="F464" s="5">
        <v>48684508.170000002</v>
      </c>
      <c r="G464" s="5">
        <v>48684508.170000002</v>
      </c>
      <c r="I464" s="11">
        <f t="shared" si="23"/>
        <v>486.84508170000004</v>
      </c>
    </row>
    <row r="465" spans="1:9" x14ac:dyDescent="0.3">
      <c r="A465" s="3">
        <v>45930</v>
      </c>
      <c r="B465" t="s">
        <v>44</v>
      </c>
      <c r="C465" s="5">
        <v>50598160.786616042</v>
      </c>
      <c r="D465" s="5">
        <v>46879518.578440093</v>
      </c>
      <c r="E465" s="7">
        <v>49810599.60628213</v>
      </c>
      <c r="F465" s="5">
        <v>49621225.759576529</v>
      </c>
      <c r="G465" s="5">
        <v>51672016.691909127</v>
      </c>
      <c r="I465" s="11">
        <f t="shared" si="23"/>
        <v>505.9816078661604</v>
      </c>
    </row>
    <row r="466" spans="1:9" x14ac:dyDescent="0.3">
      <c r="A466" s="3">
        <v>46022</v>
      </c>
      <c r="B466" t="s">
        <v>44</v>
      </c>
      <c r="C466" s="5">
        <v>52230360.315964773</v>
      </c>
      <c r="D466" s="5">
        <v>47069938.775688902</v>
      </c>
      <c r="E466" s="7">
        <v>49178084.154834203</v>
      </c>
      <c r="F466" s="5">
        <v>51355015.401741922</v>
      </c>
      <c r="G466" s="5">
        <v>52606958.703734979</v>
      </c>
      <c r="I466" s="11">
        <f t="shared" si="23"/>
        <v>522.30360315964776</v>
      </c>
    </row>
    <row r="467" spans="1:9" x14ac:dyDescent="0.3">
      <c r="A467" s="3">
        <v>46112</v>
      </c>
      <c r="B467" t="s">
        <v>44</v>
      </c>
      <c r="C467" s="5">
        <v>52184890.998818532</v>
      </c>
      <c r="D467" s="5">
        <v>47256219.403432317</v>
      </c>
      <c r="E467" s="7">
        <v>52242010.227899507</v>
      </c>
      <c r="F467" s="5">
        <v>52849446.902084097</v>
      </c>
      <c r="G467" s="5">
        <v>52358341.458627112</v>
      </c>
      <c r="I467" s="11">
        <f t="shared" si="23"/>
        <v>521.84890998818537</v>
      </c>
    </row>
    <row r="468" spans="1:9" x14ac:dyDescent="0.3">
      <c r="A468" s="3">
        <v>46203</v>
      </c>
      <c r="B468" t="s">
        <v>44</v>
      </c>
      <c r="C468" s="5">
        <v>50309114.648070782</v>
      </c>
      <c r="D468" s="5">
        <v>47444569.815928437</v>
      </c>
      <c r="E468" s="7">
        <v>50055501.899651013</v>
      </c>
      <c r="F468" s="5">
        <v>52804603.962197863</v>
      </c>
      <c r="G468" s="5">
        <v>48985272.187956236</v>
      </c>
      <c r="I468" s="11">
        <f t="shared" si="23"/>
        <v>503.09114648070783</v>
      </c>
    </row>
    <row r="469" spans="1:9" x14ac:dyDescent="0.3">
      <c r="A469" s="3">
        <v>46295</v>
      </c>
      <c r="B469" t="s">
        <v>44</v>
      </c>
      <c r="C469" s="5">
        <v>51681155.20869422</v>
      </c>
      <c r="D469" s="5">
        <v>47634990.013177253</v>
      </c>
      <c r="E469" s="7">
        <v>50854463.990120143</v>
      </c>
      <c r="F469" s="5">
        <v>52005209.282921478</v>
      </c>
      <c r="G469" s="5">
        <v>52049071.502101287</v>
      </c>
      <c r="I469" s="11">
        <f t="shared" si="23"/>
        <v>516.81155208694224</v>
      </c>
    </row>
    <row r="470" spans="1:9" x14ac:dyDescent="0.3">
      <c r="A470" s="3">
        <v>45291</v>
      </c>
      <c r="B470" t="s">
        <v>45</v>
      </c>
      <c r="C470" s="5">
        <v>1060873131.1</v>
      </c>
      <c r="D470" s="5">
        <v>1060873131.1</v>
      </c>
      <c r="E470" s="5">
        <v>1060873131.1</v>
      </c>
      <c r="F470" s="5">
        <v>1060873131.1</v>
      </c>
      <c r="G470" s="5">
        <v>1060873131.1</v>
      </c>
      <c r="I470" s="11">
        <f t="shared" si="23"/>
        <v>10608.731311</v>
      </c>
    </row>
    <row r="471" spans="1:9" x14ac:dyDescent="0.3">
      <c r="A471" s="3">
        <v>45382</v>
      </c>
      <c r="B471" t="s">
        <v>79</v>
      </c>
      <c r="C471" s="5">
        <v>1044506706.34</v>
      </c>
      <c r="D471" s="5">
        <v>1044506706.34</v>
      </c>
      <c r="E471" s="5">
        <v>1044506706.34</v>
      </c>
      <c r="F471" s="5">
        <v>1044506706.34</v>
      </c>
      <c r="G471" s="5">
        <v>1044506706.34</v>
      </c>
      <c r="I471" s="11">
        <f t="shared" si="23"/>
        <v>10445.0670634</v>
      </c>
    </row>
    <row r="472" spans="1:9" x14ac:dyDescent="0.3">
      <c r="A472" s="3">
        <v>45473</v>
      </c>
      <c r="B472" t="s">
        <v>45</v>
      </c>
      <c r="C472" s="5">
        <v>1131937454.8199999</v>
      </c>
      <c r="D472" s="5">
        <v>1131937454.8199999</v>
      </c>
      <c r="E472" s="5">
        <v>1131937454.8199999</v>
      </c>
      <c r="F472" s="5">
        <v>1131937454.8199999</v>
      </c>
      <c r="G472" s="5">
        <v>1131937454.8199999</v>
      </c>
      <c r="I472" s="11">
        <f t="shared" si="23"/>
        <v>11319.374548199999</v>
      </c>
    </row>
    <row r="473" spans="1:9" x14ac:dyDescent="0.3">
      <c r="A473" s="3">
        <v>45565</v>
      </c>
      <c r="B473" t="s">
        <v>45</v>
      </c>
      <c r="C473" s="5">
        <v>1114995464.1700001</v>
      </c>
      <c r="D473" s="5">
        <v>1114995464.1700001</v>
      </c>
      <c r="E473" s="5">
        <v>1114995464.1700001</v>
      </c>
      <c r="F473" s="5">
        <v>1114995464.1700001</v>
      </c>
      <c r="G473" s="5">
        <v>1114995464.1700001</v>
      </c>
      <c r="I473" s="11">
        <f t="shared" si="23"/>
        <v>11149.9546417</v>
      </c>
    </row>
    <row r="474" spans="1:9" x14ac:dyDescent="0.3">
      <c r="A474" s="3">
        <v>45657</v>
      </c>
      <c r="B474" t="s">
        <v>45</v>
      </c>
      <c r="C474" s="5">
        <v>1240738298.6400001</v>
      </c>
      <c r="D474" s="5">
        <v>1240738298.6400001</v>
      </c>
      <c r="E474" s="5">
        <v>1240738298.6400001</v>
      </c>
      <c r="F474" s="5">
        <v>1240738298.6400001</v>
      </c>
      <c r="G474" s="5">
        <v>1240738298.6400001</v>
      </c>
      <c r="I474" s="11">
        <f t="shared" si="23"/>
        <v>12407.382986400002</v>
      </c>
    </row>
    <row r="475" spans="1:9" x14ac:dyDescent="0.3">
      <c r="A475" s="3">
        <v>45747</v>
      </c>
      <c r="B475" t="s">
        <v>45</v>
      </c>
      <c r="C475" s="5">
        <v>1206213100</v>
      </c>
      <c r="D475" s="5">
        <v>1206213100</v>
      </c>
      <c r="E475" s="5">
        <v>1206213100</v>
      </c>
      <c r="F475" s="5">
        <v>1206213100</v>
      </c>
      <c r="G475" s="5">
        <v>1206213100</v>
      </c>
      <c r="I475" s="11">
        <f t="shared" si="23"/>
        <v>12062.130999999999</v>
      </c>
    </row>
    <row r="476" spans="1:9" x14ac:dyDescent="0.3">
      <c r="A476" s="3">
        <v>45838</v>
      </c>
      <c r="B476" t="s">
        <v>45</v>
      </c>
      <c r="C476" s="5">
        <v>1221253035</v>
      </c>
      <c r="D476" s="5">
        <v>1221253035</v>
      </c>
      <c r="E476" s="5">
        <v>1221253035</v>
      </c>
      <c r="F476" s="5">
        <v>1221253035</v>
      </c>
      <c r="G476" s="5">
        <v>1221253035</v>
      </c>
      <c r="I476" s="11">
        <f t="shared" si="23"/>
        <v>12212.530350000001</v>
      </c>
    </row>
    <row r="477" spans="1:9" x14ac:dyDescent="0.3">
      <c r="A477" s="3">
        <v>45930</v>
      </c>
      <c r="B477" t="s">
        <v>45</v>
      </c>
      <c r="C477" s="7">
        <v>1260213154.6207321</v>
      </c>
      <c r="D477" s="5">
        <v>1285012787.6258061</v>
      </c>
      <c r="E477" s="5">
        <v>1280060129.3337929</v>
      </c>
      <c r="F477" s="5">
        <v>1238875934.615782</v>
      </c>
      <c r="G477" s="5">
        <v>1235253409.5738261</v>
      </c>
      <c r="I477" s="11">
        <f t="shared" si="23"/>
        <v>12602.13154620732</v>
      </c>
    </row>
    <row r="478" spans="1:9" x14ac:dyDescent="0.3">
      <c r="A478" s="3">
        <v>46022</v>
      </c>
      <c r="B478" t="s">
        <v>45</v>
      </c>
      <c r="C478" s="7">
        <v>1328123894.5965159</v>
      </c>
      <c r="D478" s="5">
        <v>1320409807.0971539</v>
      </c>
      <c r="E478" s="5">
        <v>1325594247.261384</v>
      </c>
      <c r="F478" s="5">
        <v>1354140761.3183711</v>
      </c>
      <c r="G478" s="5">
        <v>1292964369.278291</v>
      </c>
      <c r="I478" s="11">
        <f t="shared" si="23"/>
        <v>13281.238945965159</v>
      </c>
    </row>
    <row r="479" spans="1:9" x14ac:dyDescent="0.3">
      <c r="A479" s="3">
        <v>46112</v>
      </c>
      <c r="B479" t="s">
        <v>45</v>
      </c>
      <c r="C479" s="7">
        <v>1285996836.1479321</v>
      </c>
      <c r="D479" s="5">
        <v>1355037326.145211</v>
      </c>
      <c r="E479" s="5">
        <v>1330513369.2807291</v>
      </c>
      <c r="F479" s="5">
        <v>1310393109.4144909</v>
      </c>
      <c r="G479" s="5">
        <v>1171424837.78157</v>
      </c>
      <c r="I479" s="11">
        <f t="shared" si="23"/>
        <v>12859.968361479321</v>
      </c>
    </row>
    <row r="480" spans="1:9" x14ac:dyDescent="0.3">
      <c r="A480" s="3">
        <v>46203</v>
      </c>
      <c r="B480" t="s">
        <v>45</v>
      </c>
      <c r="C480" s="7">
        <v>1353106338.3864801</v>
      </c>
      <c r="D480" s="5">
        <v>1390049595.404912</v>
      </c>
      <c r="E480" s="5">
        <v>1372799299.651294</v>
      </c>
      <c r="F480" s="5">
        <v>1350468508.1870539</v>
      </c>
      <c r="G480" s="5">
        <v>1244552685.66993</v>
      </c>
      <c r="I480" s="11">
        <f t="shared" si="23"/>
        <v>13531.063383864801</v>
      </c>
    </row>
    <row r="481" spans="1:9" x14ac:dyDescent="0.3">
      <c r="A481" s="3">
        <v>46295</v>
      </c>
      <c r="B481" t="s">
        <v>45</v>
      </c>
      <c r="C481" s="7">
        <v>1377533149.2315719</v>
      </c>
      <c r="D481" s="5">
        <v>1425446614.8762591</v>
      </c>
      <c r="E481" s="5">
        <v>1365227779.488992</v>
      </c>
      <c r="G481" s="5">
        <v>1257498617.4267621</v>
      </c>
      <c r="I481" s="11">
        <f t="shared" si="23"/>
        <v>13775.33149231572</v>
      </c>
    </row>
    <row r="482" spans="1:9" x14ac:dyDescent="0.3">
      <c r="A482" s="3">
        <v>45291</v>
      </c>
      <c r="B482" t="s">
        <v>46</v>
      </c>
      <c r="C482" s="5">
        <v>678134654.53999996</v>
      </c>
      <c r="D482" s="5">
        <v>678134654.53999996</v>
      </c>
      <c r="E482" s="5">
        <v>678134654.53999996</v>
      </c>
      <c r="F482" s="5">
        <v>678134654.53999996</v>
      </c>
      <c r="G482" s="5">
        <v>678134654.53999996</v>
      </c>
      <c r="I482" s="11">
        <f t="shared" si="23"/>
        <v>6781.3465453999997</v>
      </c>
    </row>
    <row r="483" spans="1:9" x14ac:dyDescent="0.3">
      <c r="A483" s="3">
        <v>45382</v>
      </c>
      <c r="B483" t="s">
        <v>46</v>
      </c>
      <c r="C483" s="5">
        <v>678084342.32000005</v>
      </c>
      <c r="D483" s="5">
        <v>678084342.32000005</v>
      </c>
      <c r="E483" s="5">
        <v>678084342.32000005</v>
      </c>
      <c r="F483" s="5">
        <v>678084342.32000005</v>
      </c>
      <c r="G483" s="5">
        <v>678084342.32000005</v>
      </c>
      <c r="I483" s="11">
        <f t="shared" si="23"/>
        <v>6780.8434232000009</v>
      </c>
    </row>
    <row r="484" spans="1:9" x14ac:dyDescent="0.3">
      <c r="A484" s="3">
        <v>45473</v>
      </c>
      <c r="B484" t="s">
        <v>46</v>
      </c>
      <c r="C484" s="5">
        <v>763752950.5</v>
      </c>
      <c r="D484" s="5">
        <v>763752950.5</v>
      </c>
      <c r="E484" s="5">
        <v>763752950.5</v>
      </c>
      <c r="F484" s="5">
        <v>763752950.5</v>
      </c>
      <c r="G484" s="5">
        <v>763752950.5</v>
      </c>
      <c r="I484" s="11">
        <f t="shared" ref="I484:I547" si="24">C484/100000</f>
        <v>7637.5295050000004</v>
      </c>
    </row>
    <row r="485" spans="1:9" x14ac:dyDescent="0.3">
      <c r="A485" s="3">
        <v>45565</v>
      </c>
      <c r="B485" t="s">
        <v>46</v>
      </c>
      <c r="C485" s="5">
        <v>708508422.95000005</v>
      </c>
      <c r="D485" s="5">
        <v>708508422.95000005</v>
      </c>
      <c r="E485" s="5">
        <v>708508422.95000005</v>
      </c>
      <c r="F485" s="5">
        <v>708508422.95000005</v>
      </c>
      <c r="G485" s="5">
        <v>708508422.95000005</v>
      </c>
      <c r="I485" s="11">
        <f t="shared" si="24"/>
        <v>7085.0842295000002</v>
      </c>
    </row>
    <row r="486" spans="1:9" x14ac:dyDescent="0.3">
      <c r="A486" s="3">
        <v>45657</v>
      </c>
      <c r="B486" t="s">
        <v>46</v>
      </c>
      <c r="C486" s="5">
        <v>697579320.63999999</v>
      </c>
      <c r="D486" s="5">
        <v>697579320.63999999</v>
      </c>
      <c r="E486" s="5">
        <v>697579320.63999999</v>
      </c>
      <c r="F486" s="5">
        <v>697579320.63999999</v>
      </c>
      <c r="G486" s="5">
        <v>697579320.63999999</v>
      </c>
      <c r="I486" s="11">
        <f t="shared" si="24"/>
        <v>6975.7932063999997</v>
      </c>
    </row>
    <row r="487" spans="1:9" x14ac:dyDescent="0.3">
      <c r="A487" s="3">
        <v>45747</v>
      </c>
      <c r="B487" t="s">
        <v>46</v>
      </c>
      <c r="C487" s="5">
        <v>771185820.17999995</v>
      </c>
      <c r="D487" s="5">
        <v>771185820.17999995</v>
      </c>
      <c r="E487" s="5">
        <v>771185820.17999995</v>
      </c>
      <c r="F487" s="5">
        <v>771185820.17999995</v>
      </c>
      <c r="G487" s="5">
        <v>771185820.17999995</v>
      </c>
      <c r="I487" s="11">
        <f t="shared" si="24"/>
        <v>7711.8582017999997</v>
      </c>
    </row>
    <row r="488" spans="1:9" x14ac:dyDescent="0.3">
      <c r="A488" s="3">
        <v>45838</v>
      </c>
      <c r="B488" t="s">
        <v>46</v>
      </c>
      <c r="C488" s="5">
        <v>804669445.67999995</v>
      </c>
      <c r="D488" s="5">
        <v>804669445.67999995</v>
      </c>
      <c r="E488" s="5">
        <v>804669445.67999995</v>
      </c>
      <c r="F488" s="5">
        <v>804669445.67999995</v>
      </c>
      <c r="G488" s="5">
        <v>804669445.67999995</v>
      </c>
      <c r="I488" s="11">
        <f t="shared" si="24"/>
        <v>8046.6944567999999</v>
      </c>
    </row>
    <row r="489" spans="1:9" x14ac:dyDescent="0.3">
      <c r="A489" s="3">
        <v>45930</v>
      </c>
      <c r="B489" t="s">
        <v>46</v>
      </c>
      <c r="C489" s="7">
        <v>797049953.44758391</v>
      </c>
      <c r="D489" s="5">
        <v>778844187.58595908</v>
      </c>
      <c r="E489" s="5">
        <v>788986022.397331</v>
      </c>
      <c r="F489" s="5">
        <v>826367451.30050242</v>
      </c>
      <c r="G489" s="5">
        <v>827771987.03469265</v>
      </c>
      <c r="I489" s="11">
        <f t="shared" si="24"/>
        <v>7970.499534475839</v>
      </c>
    </row>
    <row r="490" spans="1:9" x14ac:dyDescent="0.3">
      <c r="A490" s="3">
        <v>46022</v>
      </c>
      <c r="B490" t="s">
        <v>46</v>
      </c>
      <c r="C490" s="7">
        <v>765339552.60204768</v>
      </c>
      <c r="D490" s="5">
        <v>792610805.78159225</v>
      </c>
      <c r="E490" s="5">
        <v>778373798.768677</v>
      </c>
      <c r="F490" s="5">
        <v>864173380.12487233</v>
      </c>
      <c r="G490" s="5">
        <v>782371767.53564012</v>
      </c>
      <c r="I490" s="11">
        <f t="shared" si="24"/>
        <v>7653.3955260204766</v>
      </c>
    </row>
    <row r="491" spans="1:9" x14ac:dyDescent="0.3">
      <c r="A491" s="3">
        <v>46112</v>
      </c>
      <c r="B491" t="s">
        <v>46</v>
      </c>
      <c r="C491" s="7">
        <v>775454641.20875859</v>
      </c>
      <c r="D491" s="5">
        <v>806078149.66862452</v>
      </c>
      <c r="E491" s="5">
        <v>810528569.18569934</v>
      </c>
      <c r="F491" s="5">
        <v>859881151.32808805</v>
      </c>
      <c r="G491" s="5">
        <v>784589628.38642848</v>
      </c>
      <c r="I491" s="11">
        <f t="shared" si="24"/>
        <v>7754.5464120875858</v>
      </c>
    </row>
    <row r="492" spans="1:9" x14ac:dyDescent="0.3">
      <c r="A492" s="3">
        <v>46203</v>
      </c>
      <c r="B492" t="s">
        <v>46</v>
      </c>
      <c r="C492" s="7">
        <v>814173831.81265867</v>
      </c>
      <c r="D492" s="5">
        <v>819695130.70995724</v>
      </c>
      <c r="E492" s="5">
        <v>861311290.43690896</v>
      </c>
      <c r="F492" s="5">
        <v>895570604.5630517</v>
      </c>
      <c r="G492" s="5">
        <v>813393012.66117132</v>
      </c>
      <c r="I492" s="11">
        <f t="shared" si="24"/>
        <v>8141.7383181265868</v>
      </c>
    </row>
    <row r="493" spans="1:9" x14ac:dyDescent="0.3">
      <c r="A493" s="3">
        <v>46295</v>
      </c>
      <c r="B493" t="s">
        <v>80</v>
      </c>
      <c r="C493" s="7">
        <v>811780181.3165369</v>
      </c>
      <c r="D493" s="5">
        <v>833461748.9055903</v>
      </c>
      <c r="E493" s="5">
        <v>845136196.63161123</v>
      </c>
      <c r="G493" s="5">
        <v>843359098.52813339</v>
      </c>
      <c r="I493" s="11">
        <f t="shared" si="24"/>
        <v>8117.8018131653689</v>
      </c>
    </row>
    <row r="494" spans="1:9" x14ac:dyDescent="0.3">
      <c r="A494" s="3">
        <v>45291</v>
      </c>
      <c r="B494" t="s">
        <v>47</v>
      </c>
      <c r="C494" s="5">
        <v>1292011048.1199999</v>
      </c>
      <c r="D494" s="5">
        <v>1292011048.1199999</v>
      </c>
      <c r="E494" s="5">
        <v>1292011048.1199999</v>
      </c>
      <c r="F494" s="5">
        <v>1292011048.1199999</v>
      </c>
      <c r="G494" s="5">
        <v>1292011048.1199999</v>
      </c>
      <c r="I494" s="11">
        <f t="shared" si="24"/>
        <v>12920.110481199999</v>
      </c>
    </row>
    <row r="495" spans="1:9" x14ac:dyDescent="0.3">
      <c r="A495" s="3">
        <v>45382</v>
      </c>
      <c r="B495" t="s">
        <v>47</v>
      </c>
      <c r="C495" s="5">
        <v>984507965.96000004</v>
      </c>
      <c r="D495" s="5">
        <v>984507965.96000004</v>
      </c>
      <c r="E495" s="5">
        <v>984507965.96000004</v>
      </c>
      <c r="F495" s="5">
        <v>984507965.96000004</v>
      </c>
      <c r="G495" s="5">
        <v>984507965.96000004</v>
      </c>
      <c r="I495" s="11">
        <f t="shared" si="24"/>
        <v>9845.0796596</v>
      </c>
    </row>
    <row r="496" spans="1:9" x14ac:dyDescent="0.3">
      <c r="A496" s="3">
        <v>45473</v>
      </c>
      <c r="B496" t="s">
        <v>47</v>
      </c>
      <c r="C496" s="5">
        <v>1193776288.52</v>
      </c>
      <c r="D496" s="5">
        <v>1193776288.52</v>
      </c>
      <c r="E496" s="5">
        <v>1193776288.52</v>
      </c>
      <c r="F496" s="5">
        <v>1193776288.52</v>
      </c>
      <c r="G496" s="5">
        <v>1193776288.52</v>
      </c>
      <c r="I496" s="11">
        <f t="shared" si="24"/>
        <v>11937.7628852</v>
      </c>
    </row>
    <row r="497" spans="1:10" x14ac:dyDescent="0.3">
      <c r="A497" s="3">
        <v>45565</v>
      </c>
      <c r="B497" t="s">
        <v>47</v>
      </c>
      <c r="C497" s="5">
        <v>1145184538.0699999</v>
      </c>
      <c r="D497" s="5">
        <v>1145184538.0699999</v>
      </c>
      <c r="E497" s="5">
        <v>1145184538.0699999</v>
      </c>
      <c r="F497" s="5">
        <v>1145184538.0699999</v>
      </c>
      <c r="G497" s="5">
        <v>1145184538.0699999</v>
      </c>
      <c r="I497" s="11">
        <f t="shared" si="24"/>
        <v>11451.845380699999</v>
      </c>
    </row>
    <row r="498" spans="1:10" x14ac:dyDescent="0.3">
      <c r="A498" s="3">
        <v>45657</v>
      </c>
      <c r="B498" t="s">
        <v>47</v>
      </c>
      <c r="C498" s="5">
        <v>1571510819.6700001</v>
      </c>
      <c r="D498" s="5">
        <v>1571510819.6700001</v>
      </c>
      <c r="E498" s="5">
        <v>1571510819.6700001</v>
      </c>
      <c r="F498" s="5">
        <v>1571510819.6700001</v>
      </c>
      <c r="G498" s="5">
        <v>1571510819.6700001</v>
      </c>
      <c r="I498" s="11">
        <f t="shared" si="24"/>
        <v>15715.108196700001</v>
      </c>
    </row>
    <row r="499" spans="1:10" x14ac:dyDescent="0.3">
      <c r="A499" s="3">
        <v>45747</v>
      </c>
      <c r="B499" t="s">
        <v>47</v>
      </c>
      <c r="C499" s="5">
        <v>1076134826.52</v>
      </c>
      <c r="D499" s="5">
        <v>1076134826.52</v>
      </c>
      <c r="E499" s="5">
        <v>1076134826.52</v>
      </c>
      <c r="F499" s="5">
        <v>1076134826.52</v>
      </c>
      <c r="G499" s="5">
        <v>1076134826.52</v>
      </c>
      <c r="I499" s="11">
        <f t="shared" si="24"/>
        <v>10761.3482652</v>
      </c>
    </row>
    <row r="500" spans="1:10" x14ac:dyDescent="0.3">
      <c r="A500" s="3">
        <v>45838</v>
      </c>
      <c r="B500" t="s">
        <v>47</v>
      </c>
      <c r="C500" s="5">
        <v>1525284991.6199999</v>
      </c>
      <c r="D500" s="5">
        <v>1525284991.6199999</v>
      </c>
      <c r="E500" s="5">
        <v>1525284991.6199999</v>
      </c>
      <c r="F500" s="5">
        <v>1525284991.6199999</v>
      </c>
      <c r="G500" s="5">
        <v>1525284991.6199999</v>
      </c>
      <c r="I500" s="11">
        <f t="shared" si="24"/>
        <v>15252.849916199999</v>
      </c>
    </row>
    <row r="501" spans="1:10" x14ac:dyDescent="0.3">
      <c r="A501" s="3">
        <v>45930</v>
      </c>
      <c r="B501" t="s">
        <v>47</v>
      </c>
      <c r="C501" s="7">
        <v>1339268494.0772231</v>
      </c>
      <c r="D501" s="5">
        <v>1252874840.569272</v>
      </c>
      <c r="E501" s="5">
        <v>1367860739.8505819</v>
      </c>
      <c r="F501" s="5">
        <v>1303203498.012008</v>
      </c>
      <c r="G501" s="5">
        <v>1311163529.643811</v>
      </c>
      <c r="I501" s="11">
        <f t="shared" si="24"/>
        <v>13392.684940772231</v>
      </c>
    </row>
    <row r="502" spans="1:10" x14ac:dyDescent="0.3">
      <c r="A502" s="3">
        <v>46022</v>
      </c>
      <c r="B502" t="s">
        <v>47</v>
      </c>
      <c r="C502" s="7">
        <v>1668104211.5232811</v>
      </c>
      <c r="D502" s="5">
        <v>1273715118.3514731</v>
      </c>
      <c r="E502" s="5">
        <v>1786014444.737555</v>
      </c>
      <c r="F502" s="5">
        <v>1636278997.838887</v>
      </c>
      <c r="G502" s="5">
        <v>1775417301.766772</v>
      </c>
      <c r="I502" s="11">
        <f t="shared" si="24"/>
        <v>16681.042115232813</v>
      </c>
    </row>
    <row r="503" spans="1:10" x14ac:dyDescent="0.3">
      <c r="A503" s="3">
        <v>46112</v>
      </c>
      <c r="B503" t="s">
        <v>47</v>
      </c>
      <c r="C503" s="7">
        <v>1398104851.6864271</v>
      </c>
      <c r="D503" s="5">
        <v>1294102346.6166689</v>
      </c>
      <c r="E503" s="5">
        <v>1376243276.4911029</v>
      </c>
      <c r="F503" s="5">
        <v>1223391311.054261</v>
      </c>
      <c r="G503" s="5">
        <v>1226105979.1281631</v>
      </c>
      <c r="I503" s="11">
        <f t="shared" si="24"/>
        <v>13981.048516864272</v>
      </c>
    </row>
    <row r="504" spans="1:10" x14ac:dyDescent="0.3">
      <c r="A504" s="3">
        <v>46203</v>
      </c>
      <c r="B504" t="s">
        <v>47</v>
      </c>
      <c r="C504" s="7">
        <v>1640049729.6814899</v>
      </c>
      <c r="D504" s="5">
        <v>1314716099.640367</v>
      </c>
      <c r="E504" s="5">
        <v>1667829022.8682661</v>
      </c>
      <c r="F504" s="5">
        <v>1594514141.48174</v>
      </c>
      <c r="G504" s="5">
        <v>1555135772.198396</v>
      </c>
      <c r="I504" s="11">
        <f t="shared" si="24"/>
        <v>16400.497296814898</v>
      </c>
    </row>
    <row r="505" spans="1:10" x14ac:dyDescent="0.3">
      <c r="A505" s="3">
        <v>46295</v>
      </c>
      <c r="B505" t="s">
        <v>81</v>
      </c>
      <c r="C505" s="7">
        <v>1540139057.575362</v>
      </c>
      <c r="D505" s="5">
        <v>1335556377.4225681</v>
      </c>
      <c r="E505" s="5">
        <v>1655215277.824353</v>
      </c>
      <c r="F505" s="5">
        <v>1395114602.5346379</v>
      </c>
      <c r="G505" s="5">
        <v>1348266174.2228849</v>
      </c>
      <c r="I505" s="11">
        <f t="shared" si="24"/>
        <v>15401.390575753619</v>
      </c>
    </row>
    <row r="506" spans="1:10" x14ac:dyDescent="0.3">
      <c r="A506" s="3">
        <v>45291</v>
      </c>
      <c r="B506" t="s">
        <v>48</v>
      </c>
      <c r="C506" s="5">
        <v>305744901.54000002</v>
      </c>
      <c r="D506" s="5">
        <v>305744901.54000002</v>
      </c>
      <c r="E506" s="5">
        <v>305744901.54000002</v>
      </c>
      <c r="F506" s="5">
        <v>305744901.54000002</v>
      </c>
      <c r="G506" s="5">
        <v>305744901.54000002</v>
      </c>
      <c r="I506" s="11">
        <f t="shared" si="24"/>
        <v>3057.4490154</v>
      </c>
    </row>
    <row r="507" spans="1:10" x14ac:dyDescent="0.3">
      <c r="A507" s="3">
        <v>45382</v>
      </c>
      <c r="B507" t="s">
        <v>48</v>
      </c>
      <c r="C507" s="5">
        <v>296145654.33999997</v>
      </c>
      <c r="D507" s="5">
        <v>296145654.33999997</v>
      </c>
      <c r="E507" s="5">
        <v>296145654.33999997</v>
      </c>
      <c r="F507" s="5">
        <v>296145654.33999997</v>
      </c>
      <c r="G507" s="5">
        <v>296145654.33999997</v>
      </c>
      <c r="I507" s="11">
        <f t="shared" si="24"/>
        <v>2961.4565433999996</v>
      </c>
      <c r="J507" s="10">
        <f>(I502-I501)/I501</f>
        <v>0.24553382604033486</v>
      </c>
    </row>
    <row r="508" spans="1:10" x14ac:dyDescent="0.3">
      <c r="A508" s="3">
        <v>45473</v>
      </c>
      <c r="B508" t="s">
        <v>48</v>
      </c>
      <c r="C508" s="5">
        <v>343033085.93000001</v>
      </c>
      <c r="D508" s="5">
        <v>343033085.93000001</v>
      </c>
      <c r="E508" s="5">
        <v>343033085.93000001</v>
      </c>
      <c r="F508" s="5">
        <v>343033085.93000001</v>
      </c>
      <c r="G508" s="5">
        <v>343033085.93000001</v>
      </c>
      <c r="I508" s="11">
        <f t="shared" si="24"/>
        <v>3430.3308593000002</v>
      </c>
    </row>
    <row r="509" spans="1:10" x14ac:dyDescent="0.3">
      <c r="A509" s="3">
        <v>45565</v>
      </c>
      <c r="B509" t="s">
        <v>48</v>
      </c>
      <c r="C509" s="5">
        <v>340119045.08999997</v>
      </c>
      <c r="D509" s="5">
        <v>340119045.08999997</v>
      </c>
      <c r="E509" s="5">
        <v>340119045.08999997</v>
      </c>
      <c r="F509" s="5">
        <v>340119045.08999997</v>
      </c>
      <c r="G509" s="5">
        <v>340119045.08999997</v>
      </c>
      <c r="I509" s="11">
        <f t="shared" si="24"/>
        <v>3401.1904508999996</v>
      </c>
    </row>
    <row r="510" spans="1:10" x14ac:dyDescent="0.3">
      <c r="A510" s="3">
        <v>45657</v>
      </c>
      <c r="B510" t="s">
        <v>48</v>
      </c>
      <c r="C510" s="5">
        <v>326477345.12</v>
      </c>
      <c r="D510" s="5">
        <v>326477345.12</v>
      </c>
      <c r="E510" s="5">
        <v>326477345.12</v>
      </c>
      <c r="F510" s="5">
        <v>326477345.12</v>
      </c>
      <c r="G510" s="5">
        <v>326477345.12</v>
      </c>
      <c r="I510" s="11">
        <f t="shared" si="24"/>
        <v>3264.7734512000002</v>
      </c>
    </row>
    <row r="511" spans="1:10" x14ac:dyDescent="0.3">
      <c r="A511" s="3">
        <v>45747</v>
      </c>
      <c r="B511" t="s">
        <v>48</v>
      </c>
      <c r="C511" s="5">
        <v>319114053.49000001</v>
      </c>
      <c r="D511" s="5">
        <v>319114053.49000001</v>
      </c>
      <c r="E511" s="5">
        <v>319114053.49000001</v>
      </c>
      <c r="F511" s="5">
        <v>319114053.49000001</v>
      </c>
      <c r="G511" s="5">
        <v>319114053.49000001</v>
      </c>
      <c r="I511" s="11">
        <f t="shared" si="24"/>
        <v>3191.1405349000001</v>
      </c>
    </row>
    <row r="512" spans="1:10" x14ac:dyDescent="0.3">
      <c r="A512" s="3">
        <v>45838</v>
      </c>
      <c r="B512" t="s">
        <v>48</v>
      </c>
      <c r="C512" s="5">
        <v>348703926.20999998</v>
      </c>
      <c r="D512" s="5">
        <v>348703926.20999998</v>
      </c>
      <c r="E512" s="5">
        <v>348703926.20999998</v>
      </c>
      <c r="F512" s="5">
        <v>348703926.20999998</v>
      </c>
      <c r="G512" s="5">
        <v>348703926.20999998</v>
      </c>
      <c r="I512" s="11">
        <f t="shared" si="24"/>
        <v>3487.0392620999996</v>
      </c>
    </row>
    <row r="513" spans="1:9" x14ac:dyDescent="0.3">
      <c r="A513" s="3">
        <v>45930</v>
      </c>
      <c r="B513" t="s">
        <v>48</v>
      </c>
      <c r="C513" s="7">
        <v>328140986.29063809</v>
      </c>
      <c r="D513" s="5">
        <v>374449184.4162643</v>
      </c>
      <c r="E513" s="5">
        <v>334575121.45030832</v>
      </c>
      <c r="F513" s="5">
        <v>333410312.52980042</v>
      </c>
      <c r="G513" s="5">
        <v>332807167.95069343</v>
      </c>
      <c r="I513" s="11">
        <f t="shared" si="24"/>
        <v>3281.409862906381</v>
      </c>
    </row>
    <row r="514" spans="1:9" x14ac:dyDescent="0.3">
      <c r="A514" s="3">
        <v>46022</v>
      </c>
      <c r="B514" t="s">
        <v>48</v>
      </c>
      <c r="C514" s="7">
        <v>327015867.86149329</v>
      </c>
      <c r="D514" s="5">
        <v>377444028.03155798</v>
      </c>
      <c r="E514" s="5">
        <v>313721392.2013365</v>
      </c>
      <c r="F514" s="5">
        <v>328551022.54383332</v>
      </c>
      <c r="G514" s="5">
        <v>326928823.96481359</v>
      </c>
      <c r="I514" s="11">
        <f t="shared" si="24"/>
        <v>3270.1586786149328</v>
      </c>
    </row>
    <row r="515" spans="1:9" x14ac:dyDescent="0.3">
      <c r="A515" s="3">
        <v>46112</v>
      </c>
      <c r="B515" t="s">
        <v>48</v>
      </c>
      <c r="C515" s="7">
        <v>335813430.25369388</v>
      </c>
      <c r="D515" s="5">
        <v>380373766.35086697</v>
      </c>
      <c r="E515" s="5">
        <v>311363009.76964039</v>
      </c>
      <c r="F515" s="5">
        <v>316031307.57047099</v>
      </c>
      <c r="G515" s="5">
        <v>330424943.22751498</v>
      </c>
      <c r="I515" s="11">
        <f t="shared" si="24"/>
        <v>3358.1343025369388</v>
      </c>
    </row>
    <row r="516" spans="1:9" x14ac:dyDescent="0.3">
      <c r="A516" s="3">
        <v>46203</v>
      </c>
      <c r="B516" t="s">
        <v>48</v>
      </c>
      <c r="C516" s="7">
        <v>364761045.72956562</v>
      </c>
      <c r="D516" s="5">
        <v>383336057.31816828</v>
      </c>
      <c r="E516" s="5">
        <v>344650816.81487232</v>
      </c>
      <c r="F516" s="5">
        <v>354398824.88110238</v>
      </c>
      <c r="G516" s="5">
        <v>354902615.35082352</v>
      </c>
      <c r="I516" s="11">
        <f t="shared" si="24"/>
        <v>3647.610457295656</v>
      </c>
    </row>
    <row r="517" spans="1:9" x14ac:dyDescent="0.3">
      <c r="A517" s="3">
        <v>46295</v>
      </c>
      <c r="B517" t="s">
        <v>82</v>
      </c>
      <c r="C517" s="7">
        <v>344269448.58168221</v>
      </c>
      <c r="D517" s="5">
        <v>386330900.93346202</v>
      </c>
      <c r="E517" s="5">
        <v>325734784.8581714</v>
      </c>
      <c r="G517" s="5">
        <v>338697903.29064089</v>
      </c>
      <c r="I517" s="11">
        <f t="shared" si="24"/>
        <v>3442.6944858168222</v>
      </c>
    </row>
    <row r="518" spans="1:9" x14ac:dyDescent="0.3">
      <c r="A518" s="3">
        <v>45291</v>
      </c>
      <c r="B518" t="s">
        <v>49</v>
      </c>
      <c r="C518" s="5">
        <v>85741710.140000001</v>
      </c>
      <c r="D518" s="5">
        <v>85741710.140000001</v>
      </c>
      <c r="E518" s="5">
        <v>85741710.140000001</v>
      </c>
      <c r="F518" s="5">
        <v>85741710.140000001</v>
      </c>
      <c r="G518" s="5">
        <v>85741710.140000001</v>
      </c>
      <c r="I518" s="11">
        <f t="shared" si="24"/>
        <v>857.41710139999998</v>
      </c>
    </row>
    <row r="519" spans="1:9" x14ac:dyDescent="0.3">
      <c r="A519" s="3">
        <v>45382</v>
      </c>
      <c r="B519" t="s">
        <v>49</v>
      </c>
      <c r="C519" s="5">
        <v>91777358.189999998</v>
      </c>
      <c r="D519" s="5">
        <v>91777358.189999998</v>
      </c>
      <c r="E519" s="5">
        <v>91777358.189999998</v>
      </c>
      <c r="F519" s="5">
        <v>91777358.189999998</v>
      </c>
      <c r="G519" s="5">
        <v>91777358.189999998</v>
      </c>
      <c r="I519" s="11">
        <f t="shared" si="24"/>
        <v>917.77358189999995</v>
      </c>
    </row>
    <row r="520" spans="1:9" x14ac:dyDescent="0.3">
      <c r="A520" s="3">
        <v>45473</v>
      </c>
      <c r="B520" t="s">
        <v>49</v>
      </c>
      <c r="C520" s="5">
        <v>99808849.920000002</v>
      </c>
      <c r="D520" s="5">
        <v>99808849.920000002</v>
      </c>
      <c r="E520" s="5">
        <v>99808849.920000002</v>
      </c>
      <c r="F520" s="5">
        <v>99808849.920000002</v>
      </c>
      <c r="G520" s="5">
        <v>99808849.920000002</v>
      </c>
      <c r="I520" s="11">
        <f t="shared" si="24"/>
        <v>998.0884992</v>
      </c>
    </row>
    <row r="521" spans="1:9" x14ac:dyDescent="0.3">
      <c r="A521" s="3">
        <v>45565</v>
      </c>
      <c r="B521" t="s">
        <v>49</v>
      </c>
      <c r="C521" s="5">
        <v>98702327.989999995</v>
      </c>
      <c r="D521" s="5">
        <v>98702327.989999995</v>
      </c>
      <c r="E521" s="5">
        <v>98702327.989999995</v>
      </c>
      <c r="F521" s="5">
        <v>98702327.989999995</v>
      </c>
      <c r="G521" s="5">
        <v>98702327.989999995</v>
      </c>
      <c r="I521" s="11">
        <f t="shared" si="24"/>
        <v>987.02327989999992</v>
      </c>
    </row>
    <row r="522" spans="1:9" x14ac:dyDescent="0.3">
      <c r="A522" s="3">
        <v>45657</v>
      </c>
      <c r="B522" t="s">
        <v>49</v>
      </c>
      <c r="C522" s="5">
        <v>82829393.900000006</v>
      </c>
      <c r="D522" s="5">
        <v>82829393.900000006</v>
      </c>
      <c r="E522" s="5">
        <v>82829393.900000006</v>
      </c>
      <c r="F522" s="5">
        <v>82829393.900000006</v>
      </c>
      <c r="G522" s="5">
        <v>82829393.900000006</v>
      </c>
      <c r="I522" s="11">
        <f t="shared" si="24"/>
        <v>828.29393900000002</v>
      </c>
    </row>
    <row r="523" spans="1:9" x14ac:dyDescent="0.3">
      <c r="A523" s="3">
        <v>45747</v>
      </c>
      <c r="B523" t="s">
        <v>49</v>
      </c>
      <c r="C523" s="5">
        <v>59295766</v>
      </c>
      <c r="D523" s="5">
        <v>59295766</v>
      </c>
      <c r="E523" s="5">
        <v>59295766</v>
      </c>
      <c r="F523" s="5">
        <v>59295766</v>
      </c>
      <c r="G523" s="5">
        <v>59295766</v>
      </c>
      <c r="I523" s="11">
        <f t="shared" si="24"/>
        <v>592.95766000000003</v>
      </c>
    </row>
    <row r="524" spans="1:9" x14ac:dyDescent="0.3">
      <c r="A524" s="3">
        <v>45838</v>
      </c>
      <c r="B524" t="s">
        <v>49</v>
      </c>
      <c r="C524" s="5">
        <v>75900772</v>
      </c>
      <c r="D524" s="5">
        <v>75900772</v>
      </c>
      <c r="E524" s="5">
        <v>75900772</v>
      </c>
      <c r="F524" s="5">
        <v>75900772</v>
      </c>
      <c r="G524" s="5">
        <v>75900772</v>
      </c>
      <c r="I524" s="11">
        <f t="shared" si="24"/>
        <v>759.00771999999995</v>
      </c>
    </row>
    <row r="525" spans="1:9" x14ac:dyDescent="0.3">
      <c r="A525" s="3">
        <v>45930</v>
      </c>
      <c r="B525" t="s">
        <v>49</v>
      </c>
      <c r="C525" s="5">
        <v>75065969.704513475</v>
      </c>
      <c r="D525" s="5">
        <v>93266740.408971295</v>
      </c>
      <c r="E525" s="5">
        <v>64530520.603080653</v>
      </c>
      <c r="F525" s="5">
        <v>88142996.723730579</v>
      </c>
      <c r="G525" s="5">
        <v>75834273.436104923</v>
      </c>
      <c r="I525" s="11">
        <f t="shared" si="24"/>
        <v>750.65969704513475</v>
      </c>
    </row>
    <row r="526" spans="1:9" x14ac:dyDescent="0.3">
      <c r="A526" s="3">
        <v>46022</v>
      </c>
      <c r="B526" t="s">
        <v>49</v>
      </c>
      <c r="C526" s="5">
        <v>75064239.123206377</v>
      </c>
      <c r="D526" s="5">
        <v>95698240.887120113</v>
      </c>
      <c r="E526" s="5">
        <v>59662842.15486569</v>
      </c>
      <c r="F526" s="5">
        <v>87017744.689888358</v>
      </c>
      <c r="G526" s="5">
        <v>78519958.776896343</v>
      </c>
      <c r="I526" s="11">
        <f t="shared" si="24"/>
        <v>750.6423912320638</v>
      </c>
    </row>
    <row r="527" spans="1:9" x14ac:dyDescent="0.3">
      <c r="A527" s="3">
        <v>46112</v>
      </c>
      <c r="B527" t="s">
        <v>49</v>
      </c>
      <c r="C527" s="5">
        <v>71765940.374817058</v>
      </c>
      <c r="D527" s="5">
        <v>98076882.659222245</v>
      </c>
      <c r="E527" s="5">
        <v>51240934.73250404</v>
      </c>
      <c r="F527" s="5">
        <v>81584354.356022075</v>
      </c>
      <c r="G527" s="5">
        <v>77589075.807400033</v>
      </c>
      <c r="I527" s="11">
        <f t="shared" si="24"/>
        <v>717.65940374817058</v>
      </c>
    </row>
    <row r="528" spans="1:9" x14ac:dyDescent="0.3">
      <c r="A528" s="3">
        <v>46203</v>
      </c>
      <c r="B528" t="s">
        <v>49</v>
      </c>
      <c r="C528" s="5">
        <v>76769904.057966009</v>
      </c>
      <c r="D528" s="5">
        <v>100481953.7843478</v>
      </c>
      <c r="E528" s="5">
        <v>48173677.669738106</v>
      </c>
      <c r="F528" s="5">
        <v>87966884.395643383</v>
      </c>
      <c r="G528" s="5">
        <v>79148952.853786588</v>
      </c>
      <c r="I528" s="11">
        <f t="shared" si="24"/>
        <v>767.69904057966005</v>
      </c>
    </row>
    <row r="529" spans="1:9" x14ac:dyDescent="0.3">
      <c r="A529" s="3">
        <v>46295</v>
      </c>
      <c r="B529" t="s">
        <v>83</v>
      </c>
      <c r="C529" s="5">
        <v>77711574.420269459</v>
      </c>
      <c r="D529" s="5">
        <v>102913454.26249661</v>
      </c>
      <c r="E529" s="5">
        <v>59107735.23344411</v>
      </c>
      <c r="F529" s="5">
        <v>94073538.680018365</v>
      </c>
      <c r="G529" s="5">
        <v>80652288.945326328</v>
      </c>
      <c r="I529" s="11">
        <f t="shared" si="24"/>
        <v>777.1157442026946</v>
      </c>
    </row>
    <row r="530" spans="1:9" x14ac:dyDescent="0.3">
      <c r="A530" s="3">
        <v>45291</v>
      </c>
      <c r="B530" t="s">
        <v>50</v>
      </c>
      <c r="C530" s="5">
        <v>65772373.170000002</v>
      </c>
      <c r="D530" s="5">
        <v>65772373.170000002</v>
      </c>
      <c r="E530" s="5">
        <v>65772373.170000002</v>
      </c>
      <c r="F530" s="5">
        <v>65772373.170000002</v>
      </c>
      <c r="G530" s="5">
        <v>65772373.170000002</v>
      </c>
      <c r="I530" s="11">
        <f t="shared" si="24"/>
        <v>657.72373170000003</v>
      </c>
    </row>
    <row r="531" spans="1:9" x14ac:dyDescent="0.3">
      <c r="A531" s="3">
        <v>45382</v>
      </c>
      <c r="B531" t="s">
        <v>50</v>
      </c>
      <c r="C531" s="5">
        <v>64960591.520000003</v>
      </c>
      <c r="D531" s="5">
        <v>64960591.520000003</v>
      </c>
      <c r="E531" s="5">
        <v>64960591.520000003</v>
      </c>
      <c r="F531" s="5">
        <v>64960591.520000003</v>
      </c>
      <c r="G531" s="5">
        <v>64960591.520000003</v>
      </c>
      <c r="I531" s="11">
        <f t="shared" si="24"/>
        <v>649.60591520000003</v>
      </c>
    </row>
    <row r="532" spans="1:9" x14ac:dyDescent="0.3">
      <c r="A532" s="3">
        <v>45473</v>
      </c>
      <c r="B532" t="s">
        <v>50</v>
      </c>
      <c r="C532" s="5">
        <v>77572569.349999994</v>
      </c>
      <c r="D532" s="5">
        <v>77572569.349999994</v>
      </c>
      <c r="E532" s="5">
        <v>77572569.349999994</v>
      </c>
      <c r="F532" s="5">
        <v>77572569.349999994</v>
      </c>
      <c r="G532" s="5">
        <v>77572569.349999994</v>
      </c>
      <c r="I532" s="11">
        <f t="shared" si="24"/>
        <v>775.72569349999992</v>
      </c>
    </row>
    <row r="533" spans="1:9" x14ac:dyDescent="0.3">
      <c r="A533" s="3">
        <v>45565</v>
      </c>
      <c r="B533" t="s">
        <v>50</v>
      </c>
      <c r="C533" s="5">
        <v>69436149.819999993</v>
      </c>
      <c r="D533" s="5">
        <v>69436149.819999993</v>
      </c>
      <c r="E533" s="5">
        <v>69436149.819999993</v>
      </c>
      <c r="F533" s="5">
        <v>69436149.819999993</v>
      </c>
      <c r="G533" s="5">
        <v>69436149.819999993</v>
      </c>
      <c r="I533" s="11">
        <f t="shared" si="24"/>
        <v>694.36149819999991</v>
      </c>
    </row>
    <row r="534" spans="1:9" x14ac:dyDescent="0.3">
      <c r="A534" s="3">
        <v>45657</v>
      </c>
      <c r="B534" t="s">
        <v>50</v>
      </c>
      <c r="C534" s="5">
        <v>50766740.799999997</v>
      </c>
      <c r="D534" s="5">
        <v>50766740.799999997</v>
      </c>
      <c r="E534" s="5">
        <v>50766740.799999997</v>
      </c>
      <c r="F534" s="5">
        <v>50766740.799999997</v>
      </c>
      <c r="G534" s="5">
        <v>50766740.799999997</v>
      </c>
      <c r="I534" s="11">
        <f t="shared" si="24"/>
        <v>507.66740799999997</v>
      </c>
    </row>
    <row r="535" spans="1:9" x14ac:dyDescent="0.3">
      <c r="A535" s="3">
        <v>45747</v>
      </c>
      <c r="B535" t="s">
        <v>50</v>
      </c>
      <c r="C535" s="5">
        <v>50202511.82</v>
      </c>
      <c r="D535" s="5">
        <v>50202511.82</v>
      </c>
      <c r="E535" s="5">
        <v>50202511.82</v>
      </c>
      <c r="F535" s="5">
        <v>50202511.82</v>
      </c>
      <c r="G535" s="5">
        <v>50202511.82</v>
      </c>
      <c r="I535" s="11">
        <f t="shared" si="24"/>
        <v>502.02511820000001</v>
      </c>
    </row>
    <row r="536" spans="1:9" x14ac:dyDescent="0.3">
      <c r="A536" s="3">
        <v>45838</v>
      </c>
      <c r="B536" t="s">
        <v>50</v>
      </c>
      <c r="C536" s="5">
        <v>60357879.479999997</v>
      </c>
      <c r="D536" s="5">
        <v>60357879.479999997</v>
      </c>
      <c r="E536" s="5">
        <v>60357879.479999997</v>
      </c>
      <c r="F536" s="5">
        <v>60357879.479999997</v>
      </c>
      <c r="G536" s="5">
        <v>60357879.479999997</v>
      </c>
      <c r="I536" s="11">
        <f t="shared" si="24"/>
        <v>603.57879479999997</v>
      </c>
    </row>
    <row r="537" spans="1:9" x14ac:dyDescent="0.3">
      <c r="A537" s="3">
        <v>45930</v>
      </c>
      <c r="B537" t="s">
        <v>50</v>
      </c>
      <c r="C537" s="8">
        <v>59609143.611400053</v>
      </c>
      <c r="D537" s="5">
        <v>49306042.422457397</v>
      </c>
      <c r="E537" s="7">
        <v>71819307.786628634</v>
      </c>
      <c r="F537" s="5">
        <v>48016592.322452232</v>
      </c>
      <c r="G537" s="5">
        <v>63795463.920990407</v>
      </c>
      <c r="I537" s="11">
        <f t="shared" si="24"/>
        <v>596.09143611400054</v>
      </c>
    </row>
    <row r="538" spans="1:9" x14ac:dyDescent="0.3">
      <c r="A538" s="3">
        <v>46022</v>
      </c>
      <c r="B538" t="s">
        <v>50</v>
      </c>
      <c r="C538" s="8">
        <v>63691067.738976978</v>
      </c>
      <c r="D538" s="5">
        <v>50528583.004777521</v>
      </c>
      <c r="E538" s="7">
        <v>80588973.798899114</v>
      </c>
      <c r="F538" s="5">
        <v>45954928.770151302</v>
      </c>
      <c r="G538" s="5">
        <v>76070568.23937279</v>
      </c>
      <c r="I538" s="11">
        <f t="shared" si="24"/>
        <v>636.91067738976983</v>
      </c>
    </row>
    <row r="539" spans="1:9" x14ac:dyDescent="0.3">
      <c r="A539" s="3">
        <v>46112</v>
      </c>
      <c r="B539" t="s">
        <v>50</v>
      </c>
      <c r="C539" s="8">
        <v>60760789.223860897</v>
      </c>
      <c r="D539" s="5">
        <v>51724546.617916763</v>
      </c>
      <c r="E539" s="7">
        <v>77488250.382574558</v>
      </c>
      <c r="F539" s="5">
        <v>39282872.068161197</v>
      </c>
      <c r="G539" s="5">
        <v>54106785.377565064</v>
      </c>
      <c r="I539" s="11">
        <f t="shared" si="24"/>
        <v>607.607892238609</v>
      </c>
    </row>
    <row r="540" spans="1:9" x14ac:dyDescent="0.3">
      <c r="A540" s="3">
        <v>46203</v>
      </c>
      <c r="B540" t="s">
        <v>50</v>
      </c>
      <c r="C540" s="8">
        <v>64228376.124407418</v>
      </c>
      <c r="D540" s="5">
        <v>52933798.715646438</v>
      </c>
      <c r="E540" s="7">
        <v>88810292.299172208</v>
      </c>
      <c r="F540" s="5">
        <v>47362870.65538194</v>
      </c>
      <c r="G540" s="5">
        <v>62733424.925666288</v>
      </c>
      <c r="I540" s="11">
        <f t="shared" si="24"/>
        <v>642.28376124407419</v>
      </c>
    </row>
    <row r="541" spans="1:9" x14ac:dyDescent="0.3">
      <c r="A541" s="3">
        <v>46295</v>
      </c>
      <c r="B541" t="s">
        <v>50</v>
      </c>
      <c r="C541" s="8">
        <v>64004713.493351333</v>
      </c>
      <c r="D541" s="5">
        <v>54156339.297966532</v>
      </c>
      <c r="E541" s="7">
        <v>83319327.102220133</v>
      </c>
      <c r="F541" s="5">
        <v>31972761.533072561</v>
      </c>
      <c r="G541" s="5">
        <v>66282188.99708885</v>
      </c>
      <c r="I541" s="11">
        <f t="shared" si="24"/>
        <v>640.04713493351335</v>
      </c>
    </row>
    <row r="542" spans="1:9" x14ac:dyDescent="0.3">
      <c r="A542" s="3">
        <v>45291</v>
      </c>
      <c r="B542" t="s">
        <v>51</v>
      </c>
      <c r="C542" s="5">
        <v>14549589.310000001</v>
      </c>
      <c r="D542" s="5">
        <v>14549589.310000001</v>
      </c>
      <c r="E542" s="5">
        <v>14549589.310000001</v>
      </c>
      <c r="F542" s="5">
        <v>14549589.310000001</v>
      </c>
      <c r="G542" s="5">
        <v>14549589.310000001</v>
      </c>
      <c r="I542" s="11">
        <f t="shared" si="24"/>
        <v>145.49589310000002</v>
      </c>
    </row>
    <row r="543" spans="1:9" x14ac:dyDescent="0.3">
      <c r="A543" s="3">
        <v>45382</v>
      </c>
      <c r="B543" t="s">
        <v>51</v>
      </c>
      <c r="C543" s="5">
        <v>14307719.140000001</v>
      </c>
      <c r="D543" s="5">
        <v>14307719.140000001</v>
      </c>
      <c r="E543" s="5">
        <v>14307719.140000001</v>
      </c>
      <c r="F543" s="5">
        <v>14307719.140000001</v>
      </c>
      <c r="G543" s="5">
        <v>14307719.140000001</v>
      </c>
      <c r="I543" s="11">
        <f t="shared" si="24"/>
        <v>143.0771914</v>
      </c>
    </row>
    <row r="544" spans="1:9" x14ac:dyDescent="0.3">
      <c r="A544" s="3">
        <v>45473</v>
      </c>
      <c r="B544" t="s">
        <v>51</v>
      </c>
      <c r="C544" s="5">
        <v>15147509.220000001</v>
      </c>
      <c r="D544" s="5">
        <v>15147509.220000001</v>
      </c>
      <c r="E544" s="5">
        <v>15147509.220000001</v>
      </c>
      <c r="F544" s="5">
        <v>15147509.220000001</v>
      </c>
      <c r="G544" s="5">
        <v>15147509.220000001</v>
      </c>
      <c r="I544" s="11">
        <f t="shared" si="24"/>
        <v>151.47509220000001</v>
      </c>
    </row>
    <row r="545" spans="1:9" x14ac:dyDescent="0.3">
      <c r="A545" s="3">
        <v>45565</v>
      </c>
      <c r="B545" t="s">
        <v>51</v>
      </c>
      <c r="C545" s="5">
        <v>18455903.449999999</v>
      </c>
      <c r="D545" s="5">
        <v>18455903.449999999</v>
      </c>
      <c r="E545" s="5">
        <v>18455903.449999999</v>
      </c>
      <c r="F545" s="5">
        <v>18455903.449999999</v>
      </c>
      <c r="G545" s="5">
        <v>18455903.449999999</v>
      </c>
      <c r="I545" s="11">
        <f t="shared" si="24"/>
        <v>184.5590345</v>
      </c>
    </row>
    <row r="546" spans="1:9" x14ac:dyDescent="0.3">
      <c r="A546" s="3">
        <v>45657</v>
      </c>
      <c r="B546" t="s">
        <v>51</v>
      </c>
      <c r="C546" s="5">
        <v>21752951.109999999</v>
      </c>
      <c r="D546" s="5">
        <v>21752951.109999999</v>
      </c>
      <c r="E546" s="5">
        <v>21752951.109999999</v>
      </c>
      <c r="F546" s="5">
        <v>21752951.109999999</v>
      </c>
      <c r="G546" s="5">
        <v>21752951.109999999</v>
      </c>
      <c r="I546" s="11">
        <f t="shared" si="24"/>
        <v>217.52951110000001</v>
      </c>
    </row>
    <row r="547" spans="1:9" x14ac:dyDescent="0.3">
      <c r="A547" s="3">
        <v>45747</v>
      </c>
      <c r="B547" t="s">
        <v>51</v>
      </c>
      <c r="C547" s="5">
        <v>25319907.34</v>
      </c>
      <c r="D547" s="5">
        <v>25319907.34</v>
      </c>
      <c r="E547" s="5">
        <v>25319907.34</v>
      </c>
      <c r="F547" s="5">
        <v>25319907.34</v>
      </c>
      <c r="G547" s="5">
        <v>25319907.34</v>
      </c>
      <c r="I547" s="11">
        <f t="shared" si="24"/>
        <v>253.1990734</v>
      </c>
    </row>
    <row r="548" spans="1:9" x14ac:dyDescent="0.3">
      <c r="A548" s="3">
        <v>45838</v>
      </c>
      <c r="B548" t="s">
        <v>51</v>
      </c>
      <c r="C548" s="5">
        <v>22367139.280000001</v>
      </c>
      <c r="D548" s="5">
        <v>22367139.280000001</v>
      </c>
      <c r="E548" s="5">
        <v>22367139.280000001</v>
      </c>
      <c r="F548" s="5">
        <v>22367139.280000001</v>
      </c>
      <c r="G548" s="5">
        <v>22367139.280000001</v>
      </c>
      <c r="I548" s="11">
        <f t="shared" ref="I548:I577" si="25">C548/100000</f>
        <v>223.67139280000001</v>
      </c>
    </row>
    <row r="549" spans="1:9" x14ac:dyDescent="0.3">
      <c r="A549" s="3">
        <v>45930</v>
      </c>
      <c r="B549" t="s">
        <v>51</v>
      </c>
      <c r="C549" s="5">
        <v>24028012.041723572</v>
      </c>
      <c r="D549" s="5">
        <v>19580709.562807631</v>
      </c>
      <c r="E549" s="7">
        <v>30059804.875160679</v>
      </c>
      <c r="F549" s="5">
        <v>24431604.072522022</v>
      </c>
      <c r="G549" s="5">
        <v>24796512.955742449</v>
      </c>
      <c r="I549" s="11">
        <f t="shared" si="25"/>
        <v>240.28012041723571</v>
      </c>
    </row>
    <row r="550" spans="1:9" x14ac:dyDescent="0.3">
      <c r="A550" s="3">
        <v>46022</v>
      </c>
      <c r="B550" t="s">
        <v>51</v>
      </c>
      <c r="C550" s="5">
        <v>23986326.95967</v>
      </c>
      <c r="D550" s="5">
        <v>19947191.954642139</v>
      </c>
      <c r="E550" s="7">
        <v>28111177.80366746</v>
      </c>
      <c r="F550" s="5">
        <v>25182897.23550668</v>
      </c>
      <c r="G550" s="5">
        <v>23537163.099645529</v>
      </c>
      <c r="I550" s="11">
        <f t="shared" si="25"/>
        <v>239.86326959670001</v>
      </c>
    </row>
    <row r="551" spans="1:9" x14ac:dyDescent="0.3">
      <c r="A551" s="3">
        <v>46112</v>
      </c>
      <c r="B551" t="s">
        <v>51</v>
      </c>
      <c r="C551" s="5">
        <v>23390624.223010302</v>
      </c>
      <c r="D551" s="5">
        <v>20305707.337958511</v>
      </c>
      <c r="E551" s="7">
        <v>26589611.01033112</v>
      </c>
      <c r="F551" s="5">
        <v>26767581.021981951</v>
      </c>
      <c r="G551" s="5">
        <v>20128405.433558989</v>
      </c>
      <c r="I551" s="11">
        <f t="shared" si="25"/>
        <v>233.906242230103</v>
      </c>
    </row>
    <row r="552" spans="1:9" x14ac:dyDescent="0.3">
      <c r="A552" s="3">
        <v>46203</v>
      </c>
      <c r="B552" t="s">
        <v>84</v>
      </c>
      <c r="C552" s="5">
        <v>25554807.723798551</v>
      </c>
      <c r="D552" s="5">
        <v>20668206.225533951</v>
      </c>
      <c r="E552" s="7">
        <v>24972887.82273341</v>
      </c>
      <c r="F552" s="5">
        <v>25819458.943397261</v>
      </c>
      <c r="G552" s="5">
        <v>25004313.37610269</v>
      </c>
      <c r="I552" s="11">
        <f t="shared" si="25"/>
        <v>255.5480772379855</v>
      </c>
    </row>
    <row r="553" spans="1:9" x14ac:dyDescent="0.3">
      <c r="A553" s="3">
        <v>46295</v>
      </c>
      <c r="B553" t="s">
        <v>51</v>
      </c>
      <c r="C553" s="5">
        <v>26063209.097755391</v>
      </c>
      <c r="D553" s="5">
        <v>21034688.617368471</v>
      </c>
      <c r="E553" s="7">
        <v>29699263.1454698</v>
      </c>
      <c r="F553" s="5">
        <v>28271836.80643326</v>
      </c>
      <c r="G553" s="5">
        <v>25583801.18207287</v>
      </c>
      <c r="I553" s="11">
        <f t="shared" si="25"/>
        <v>260.6320909775539</v>
      </c>
    </row>
    <row r="554" spans="1:9" x14ac:dyDescent="0.3">
      <c r="A554" s="3">
        <v>45291</v>
      </c>
      <c r="B554" t="s">
        <v>85</v>
      </c>
      <c r="C554" s="5">
        <v>47004803.939999998</v>
      </c>
      <c r="D554" s="5">
        <v>47004803.939999998</v>
      </c>
      <c r="E554" s="5">
        <v>47004803.939999998</v>
      </c>
      <c r="F554" s="5">
        <v>47004803.939999998</v>
      </c>
      <c r="G554" s="5">
        <v>47004803.939999998</v>
      </c>
      <c r="I554" s="11">
        <f t="shared" si="25"/>
        <v>470.04803939999999</v>
      </c>
    </row>
    <row r="555" spans="1:9" x14ac:dyDescent="0.3">
      <c r="A555" s="3">
        <v>45382</v>
      </c>
      <c r="B555" t="s">
        <v>52</v>
      </c>
      <c r="C555" s="5">
        <v>50379744.700000003</v>
      </c>
      <c r="D555" s="5">
        <v>50379744.700000003</v>
      </c>
      <c r="E555" s="5">
        <v>50379744.700000003</v>
      </c>
      <c r="F555" s="5">
        <v>50379744.700000003</v>
      </c>
      <c r="G555" s="5">
        <v>50379744.700000003</v>
      </c>
      <c r="I555" s="11">
        <f t="shared" si="25"/>
        <v>503.79744700000003</v>
      </c>
    </row>
    <row r="556" spans="1:9" x14ac:dyDescent="0.3">
      <c r="A556" s="3">
        <v>45473</v>
      </c>
      <c r="B556" t="s">
        <v>52</v>
      </c>
      <c r="C556" s="5">
        <v>58742159.579999998</v>
      </c>
      <c r="D556" s="5">
        <v>58742159.579999998</v>
      </c>
      <c r="E556" s="5">
        <v>58742159.579999998</v>
      </c>
      <c r="F556" s="5">
        <v>58742159.579999998</v>
      </c>
      <c r="G556" s="5">
        <v>58742159.579999998</v>
      </c>
      <c r="I556" s="11">
        <f t="shared" si="25"/>
        <v>587.42159579999998</v>
      </c>
    </row>
    <row r="557" spans="1:9" x14ac:dyDescent="0.3">
      <c r="A557" s="3">
        <v>45565</v>
      </c>
      <c r="B557" t="s">
        <v>52</v>
      </c>
      <c r="C557" s="5">
        <v>59413228.850000001</v>
      </c>
      <c r="D557" s="5">
        <v>59413228.850000001</v>
      </c>
      <c r="E557" s="5">
        <v>59413228.850000001</v>
      </c>
      <c r="F557" s="5">
        <v>59413228.850000001</v>
      </c>
      <c r="G557" s="5">
        <v>59413228.850000001</v>
      </c>
      <c r="I557" s="11">
        <f t="shared" si="25"/>
        <v>594.13228849999996</v>
      </c>
    </row>
    <row r="558" spans="1:9" x14ac:dyDescent="0.3">
      <c r="A558" s="3">
        <v>45657</v>
      </c>
      <c r="B558" t="s">
        <v>52</v>
      </c>
      <c r="C558" s="5">
        <v>74403832.239999995</v>
      </c>
      <c r="D558" s="5">
        <v>74403832.239999995</v>
      </c>
      <c r="E558" s="5">
        <v>74403832.239999995</v>
      </c>
      <c r="F558" s="5">
        <v>74403832.239999995</v>
      </c>
      <c r="G558" s="5">
        <v>74403832.239999995</v>
      </c>
      <c r="I558" s="11">
        <f t="shared" si="25"/>
        <v>744.03832239999997</v>
      </c>
    </row>
    <row r="559" spans="1:9" x14ac:dyDescent="0.3">
      <c r="A559" s="3">
        <v>45747</v>
      </c>
      <c r="B559" t="s">
        <v>52</v>
      </c>
      <c r="C559" s="5">
        <v>77113296.530000001</v>
      </c>
      <c r="D559" s="5">
        <v>77113296.530000001</v>
      </c>
      <c r="E559" s="5">
        <v>77113296.530000001</v>
      </c>
      <c r="F559" s="5">
        <v>77113296.530000001</v>
      </c>
      <c r="G559" s="5">
        <v>77113296.530000001</v>
      </c>
      <c r="I559" s="11">
        <f t="shared" si="25"/>
        <v>771.13296530000002</v>
      </c>
    </row>
    <row r="560" spans="1:9" x14ac:dyDescent="0.3">
      <c r="A560" s="3">
        <v>45838</v>
      </c>
      <c r="B560" t="s">
        <v>52</v>
      </c>
      <c r="C560" s="5">
        <v>83283805.950000003</v>
      </c>
      <c r="D560" s="5">
        <v>83283805.950000003</v>
      </c>
      <c r="E560" s="5">
        <v>83283805.950000003</v>
      </c>
      <c r="F560" s="5">
        <v>83283805.950000003</v>
      </c>
      <c r="G560" s="5">
        <v>83283805.950000003</v>
      </c>
      <c r="I560" s="11">
        <f t="shared" si="25"/>
        <v>832.83805949999999</v>
      </c>
    </row>
    <row r="561" spans="1:9" x14ac:dyDescent="0.3">
      <c r="A561" s="3">
        <v>45869</v>
      </c>
      <c r="B561" t="s">
        <v>52</v>
      </c>
      <c r="C561" s="5">
        <v>86396924.867516443</v>
      </c>
      <c r="D561" s="5">
        <v>72716350.101562753</v>
      </c>
      <c r="E561" s="7">
        <v>92457179.256156921</v>
      </c>
      <c r="G561" s="5">
        <v>84242391.19396916</v>
      </c>
      <c r="I561" s="11">
        <f t="shared" si="25"/>
        <v>863.96924867516441</v>
      </c>
    </row>
    <row r="562" spans="1:9" x14ac:dyDescent="0.3">
      <c r="A562" s="3">
        <v>45900</v>
      </c>
      <c r="B562" t="s">
        <v>52</v>
      </c>
      <c r="C562" s="5">
        <v>92210780.058222443</v>
      </c>
      <c r="D562" s="5">
        <v>73754280.614071205</v>
      </c>
      <c r="E562" s="7">
        <v>95456006.267495319</v>
      </c>
      <c r="G562" s="5">
        <v>85202341.929392591</v>
      </c>
      <c r="I562" s="11">
        <f t="shared" si="25"/>
        <v>922.1078005822244</v>
      </c>
    </row>
    <row r="563" spans="1:9" x14ac:dyDescent="0.3">
      <c r="A563" s="3">
        <v>45930</v>
      </c>
      <c r="B563" t="s">
        <v>52</v>
      </c>
      <c r="C563" s="5">
        <v>99712135.746701002</v>
      </c>
      <c r="D563" s="5">
        <v>74758729.497143865</v>
      </c>
      <c r="E563" s="7">
        <v>103602012.42525581</v>
      </c>
      <c r="G563" s="5">
        <v>86162292.664816007</v>
      </c>
      <c r="I563" s="11">
        <f t="shared" si="25"/>
        <v>997.12135746701006</v>
      </c>
    </row>
    <row r="564" spans="1:9" x14ac:dyDescent="0.3">
      <c r="A564" s="3">
        <v>45961</v>
      </c>
      <c r="B564" t="s">
        <v>52</v>
      </c>
      <c r="C564" s="5">
        <v>107038750.28030381</v>
      </c>
      <c r="D564" s="5">
        <v>75796660.009652287</v>
      </c>
      <c r="E564" s="7">
        <v>111533085.1669452</v>
      </c>
      <c r="G564" s="5">
        <v>87122243.400239438</v>
      </c>
      <c r="I564" s="11">
        <f t="shared" si="25"/>
        <v>1070.3875028030382</v>
      </c>
    </row>
    <row r="565" spans="1:9" x14ac:dyDescent="0.3">
      <c r="A565" s="3">
        <v>45991</v>
      </c>
      <c r="B565" t="s">
        <v>52</v>
      </c>
      <c r="C565" s="5">
        <v>112806536.0677017</v>
      </c>
      <c r="D565" s="5">
        <v>76801108.892724976</v>
      </c>
      <c r="E565" s="7">
        <v>119768359.8996989</v>
      </c>
      <c r="G565" s="5">
        <v>88082194.135662854</v>
      </c>
      <c r="I565" s="11">
        <f t="shared" si="25"/>
        <v>1128.065360677017</v>
      </c>
    </row>
    <row r="566" spans="1:9" x14ac:dyDescent="0.3">
      <c r="A566" s="3">
        <v>45291</v>
      </c>
      <c r="B566" t="s">
        <v>77</v>
      </c>
      <c r="C566" s="5">
        <v>172338839.09999999</v>
      </c>
      <c r="D566" s="5">
        <v>172338839.09999999</v>
      </c>
      <c r="E566" s="5">
        <v>172338839.09999999</v>
      </c>
      <c r="F566" s="5">
        <v>172338839.09999999</v>
      </c>
      <c r="G566" s="5">
        <v>172338839.09999999</v>
      </c>
      <c r="I566" s="11">
        <f t="shared" si="25"/>
        <v>1723.388391</v>
      </c>
    </row>
    <row r="567" spans="1:9" x14ac:dyDescent="0.3">
      <c r="A567" s="3">
        <v>45382</v>
      </c>
      <c r="B567" t="s">
        <v>53</v>
      </c>
      <c r="C567" s="5">
        <v>136101680</v>
      </c>
      <c r="D567" s="5">
        <v>136101680</v>
      </c>
      <c r="E567" s="5">
        <v>136101680</v>
      </c>
      <c r="F567" s="5">
        <v>136101680</v>
      </c>
      <c r="G567" s="5">
        <v>136101680</v>
      </c>
      <c r="I567" s="11">
        <f t="shared" si="25"/>
        <v>1361.0168000000001</v>
      </c>
    </row>
    <row r="568" spans="1:9" x14ac:dyDescent="0.3">
      <c r="A568" s="3">
        <v>45473</v>
      </c>
      <c r="B568" t="s">
        <v>53</v>
      </c>
      <c r="C568" s="5">
        <v>213235692</v>
      </c>
      <c r="D568" s="5">
        <v>213235692</v>
      </c>
      <c r="E568" s="5">
        <v>213235692</v>
      </c>
      <c r="F568" s="5">
        <v>213235692</v>
      </c>
      <c r="G568" s="5">
        <v>213235692</v>
      </c>
      <c r="I568" s="11">
        <f t="shared" si="25"/>
        <v>2132.3569200000002</v>
      </c>
    </row>
    <row r="569" spans="1:9" x14ac:dyDescent="0.3">
      <c r="A569" s="3">
        <v>45565</v>
      </c>
      <c r="B569" t="s">
        <v>53</v>
      </c>
      <c r="C569" s="5">
        <v>188537769.41</v>
      </c>
      <c r="D569" s="5">
        <v>188537769.41</v>
      </c>
      <c r="E569" s="5">
        <v>188537769.41</v>
      </c>
      <c r="F569" s="5">
        <v>188537769.41</v>
      </c>
      <c r="G569" s="5">
        <v>188537769.41</v>
      </c>
      <c r="I569" s="11">
        <f t="shared" si="25"/>
        <v>1885.3776940999999</v>
      </c>
    </row>
    <row r="570" spans="1:9" x14ac:dyDescent="0.3">
      <c r="A570" s="3">
        <v>45657</v>
      </c>
      <c r="B570" t="s">
        <v>53</v>
      </c>
      <c r="C570" s="5">
        <v>247186616.86000001</v>
      </c>
      <c r="D570" s="5">
        <v>247186616.86000001</v>
      </c>
      <c r="E570" s="5">
        <v>247186616.86000001</v>
      </c>
      <c r="F570" s="5">
        <v>247186616.86000001</v>
      </c>
      <c r="G570" s="5">
        <v>247186616.86000001</v>
      </c>
      <c r="I570" s="11">
        <f t="shared" si="25"/>
        <v>2471.8661686</v>
      </c>
    </row>
    <row r="571" spans="1:9" x14ac:dyDescent="0.3">
      <c r="A571" s="3">
        <v>45747</v>
      </c>
      <c r="B571" t="s">
        <v>53</v>
      </c>
      <c r="C571" s="5">
        <v>230243187</v>
      </c>
      <c r="D571" s="5">
        <v>230243187</v>
      </c>
      <c r="E571" s="5">
        <v>230243187</v>
      </c>
      <c r="F571" s="5">
        <v>230243187</v>
      </c>
      <c r="G571" s="5">
        <v>230243187</v>
      </c>
      <c r="I571" s="11">
        <f t="shared" si="25"/>
        <v>2302.4318699999999</v>
      </c>
    </row>
    <row r="572" spans="1:9" x14ac:dyDescent="0.3">
      <c r="A572" s="3">
        <v>45838</v>
      </c>
      <c r="B572" t="s">
        <v>53</v>
      </c>
      <c r="C572" s="5">
        <v>301476277</v>
      </c>
      <c r="D572" s="5">
        <v>301476277</v>
      </c>
      <c r="E572" s="5">
        <v>301476277</v>
      </c>
      <c r="F572" s="5">
        <v>301476277</v>
      </c>
      <c r="G572" s="5">
        <v>301476277</v>
      </c>
      <c r="I572" s="11">
        <f t="shared" si="25"/>
        <v>3014.7627699999998</v>
      </c>
    </row>
    <row r="573" spans="1:9" x14ac:dyDescent="0.3">
      <c r="A573" s="3">
        <v>45930</v>
      </c>
      <c r="B573" t="s">
        <v>53</v>
      </c>
      <c r="C573" s="5">
        <v>277023895.62784672</v>
      </c>
      <c r="D573" s="5">
        <v>214145451.56297281</v>
      </c>
      <c r="E573" s="7">
        <v>283626589.8892504</v>
      </c>
      <c r="G573" s="5">
        <v>267892725.9023118</v>
      </c>
      <c r="I573" s="11">
        <f t="shared" si="25"/>
        <v>2770.238956278467</v>
      </c>
    </row>
    <row r="574" spans="1:9" x14ac:dyDescent="0.3">
      <c r="A574" s="3">
        <v>46022</v>
      </c>
      <c r="B574" t="s">
        <v>53</v>
      </c>
      <c r="C574" s="5">
        <v>313729370.02156651</v>
      </c>
      <c r="D574" s="5">
        <v>218512427.85737339</v>
      </c>
      <c r="E574" s="7">
        <v>328639613.51436847</v>
      </c>
      <c r="G574" s="5">
        <v>316247067.60365951</v>
      </c>
      <c r="I574" s="11">
        <f t="shared" si="25"/>
        <v>3137.293700215665</v>
      </c>
    </row>
    <row r="575" spans="1:9" x14ac:dyDescent="0.3">
      <c r="A575" s="3">
        <v>46112</v>
      </c>
      <c r="B575" t="s">
        <v>53</v>
      </c>
      <c r="C575" s="5">
        <v>294790321.69287503</v>
      </c>
      <c r="D575" s="5">
        <v>222784469.88450441</v>
      </c>
      <c r="E575" s="7">
        <v>305278678.22371721</v>
      </c>
      <c r="G575" s="5">
        <v>276311831.08562571</v>
      </c>
      <c r="I575" s="11">
        <f t="shared" si="25"/>
        <v>2947.9032169287502</v>
      </c>
    </row>
    <row r="576" spans="1:9" x14ac:dyDescent="0.3">
      <c r="A576" s="3">
        <v>46203</v>
      </c>
      <c r="B576" t="s">
        <v>53</v>
      </c>
      <c r="C576" s="5">
        <v>329911913.89673781</v>
      </c>
      <c r="D576" s="5">
        <v>227103979.0452702</v>
      </c>
      <c r="E576" s="7">
        <v>362632683.69213068</v>
      </c>
      <c r="G576" s="5">
        <v>310468385.15923131</v>
      </c>
      <c r="I576" s="11">
        <f t="shared" si="25"/>
        <v>3299.1191389673781</v>
      </c>
    </row>
    <row r="577" spans="1:9" x14ac:dyDescent="0.3">
      <c r="A577" s="3">
        <v>46295</v>
      </c>
      <c r="B577" t="s">
        <v>77</v>
      </c>
      <c r="C577" s="5">
        <v>311061234.60008502</v>
      </c>
      <c r="D577" s="5">
        <v>231470955.33967081</v>
      </c>
      <c r="E577" s="7">
        <v>341977691.10889119</v>
      </c>
      <c r="G577" s="5">
        <v>275830781.45162028</v>
      </c>
      <c r="I577" s="11">
        <f t="shared" si="25"/>
        <v>3110.6123460008503</v>
      </c>
    </row>
  </sheetData>
  <phoneticPr fontId="3" type="noConversion"/>
  <hyperlinks>
    <hyperlink ref="K15" r:id="rId1" display="https://finance.naver.com/item/main.naver?code=068270" xr:uid="{3B23C9C8-6147-4E1C-8B43-66DBB6C0D3E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2025-11-11T13:29:25Z</dcterms:created>
  <dcterms:modified xsi:type="dcterms:W3CDTF">2025-11-12T15:19:52Z</dcterms:modified>
</cp:coreProperties>
</file>