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8\OneDrive\바탕 화면\investment\investment_strategy\투자내역_투자일지\"/>
    </mc:Choice>
  </mc:AlternateContent>
  <xr:revisionPtr revIDLastSave="0" documentId="13_ncr:1_{778FEBC9-3F7F-48EC-95F3-F9FE06500758}" xr6:coauthVersionLast="47" xr6:coauthVersionMax="47" xr10:uidLastSave="{00000000-0000-0000-0000-000000000000}"/>
  <bookViews>
    <workbookView xWindow="31095" yWindow="0" windowWidth="26505" windowHeight="23400" activeTab="1" xr2:uid="{846F47F3-EAAD-4C96-9254-B3F06D85A831}"/>
  </bookViews>
  <sheets>
    <sheet name="Sheet1" sheetId="1" r:id="rId1"/>
    <sheet name="ANET_매수전략" sheetId="2" r:id="rId2"/>
    <sheet name="AM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" l="1"/>
  <c r="G68" i="2"/>
  <c r="G69" i="2"/>
  <c r="G66" i="2"/>
  <c r="F67" i="2"/>
  <c r="F68" i="2"/>
  <c r="F69" i="2"/>
  <c r="F66" i="2"/>
</calcChain>
</file>

<file path=xl/sharedStrings.xml><?xml version="1.0" encoding="utf-8"?>
<sst xmlns="http://schemas.openxmlformats.org/spreadsheetml/2006/main" count="370" uniqueCount="128">
  <si>
    <t>종목명</t>
  </si>
  <si>
    <t>단축코드</t>
  </si>
  <si>
    <t>매매일자</t>
  </si>
  <si>
    <t>결제일자</t>
  </si>
  <si>
    <t>수량</t>
  </si>
  <si>
    <t>단가</t>
  </si>
  <si>
    <t>입출금일자</t>
  </si>
  <si>
    <t>매매금액</t>
  </si>
  <si>
    <t>통화</t>
  </si>
  <si>
    <t>환매매기준환율</t>
  </si>
  <si>
    <t>시장구분</t>
  </si>
  <si>
    <t>매매구분</t>
  </si>
  <si>
    <t>결제금액</t>
  </si>
  <si>
    <t>매매수수료</t>
  </si>
  <si>
    <t>종목번호</t>
  </si>
  <si>
    <t>장외구분</t>
  </si>
  <si>
    <t>결제번호</t>
  </si>
  <si>
    <t>거래번호</t>
  </si>
  <si>
    <t>2025/03/06</t>
  </si>
  <si>
    <t>2025/03/10</t>
  </si>
  <si>
    <t>USD</t>
  </si>
  <si>
    <t>미국</t>
  </si>
  <si>
    <t>온라인 매도</t>
  </si>
  <si>
    <t>MRC 글로벌(MRC GLOBAL INC)</t>
  </si>
  <si>
    <t>MRC</t>
  </si>
  <si>
    <t>US55345K1034</t>
  </si>
  <si>
    <t>장내거래</t>
  </si>
  <si>
    <t>NCS 멀티스테이지 홀딩스(NCS MULTISTAGE HOLDINGS ..</t>
  </si>
  <si>
    <t>NCSM</t>
  </si>
  <si>
    <t>US6288772014</t>
  </si>
  <si>
    <t>빌리지 슈퍼 마켓(VILLAGE SUPER MARKET INC)</t>
  </si>
  <si>
    <t>VLGEA</t>
  </si>
  <si>
    <t>US9271074091</t>
  </si>
  <si>
    <t>스틸케이스(STEELCASE INC)</t>
  </si>
  <si>
    <t>SCS</t>
  </si>
  <si>
    <t>US8581552036</t>
  </si>
  <si>
    <t>잭스 퍼시픽(JAKKS PACIFIC INC)</t>
  </si>
  <si>
    <t>JAKK</t>
  </si>
  <si>
    <t>US47012E4035</t>
  </si>
  <si>
    <t>2025/03/07</t>
  </si>
  <si>
    <t>2025/03/11</t>
  </si>
  <si>
    <t>온라인 매수</t>
  </si>
  <si>
    <t>브로드컴(BROADCOM INC)</t>
  </si>
  <si>
    <t>AVGO</t>
  </si>
  <si>
    <t>US11135F1012</t>
  </si>
  <si>
    <t>어밴터(AVANTOR INC)</t>
  </si>
  <si>
    <t>AVTR</t>
  </si>
  <si>
    <t>US05352A1007</t>
  </si>
  <si>
    <t>케미드(CHEMED CORP)</t>
  </si>
  <si>
    <t>CHE</t>
  </si>
  <si>
    <t>US16359R1032</t>
  </si>
  <si>
    <t>크로락스(CLOROX CO)</t>
  </si>
  <si>
    <t>CLX</t>
  </si>
  <si>
    <t>US1890541097</t>
  </si>
  <si>
    <t>내셔널 베버리지(NATIONAL BEVERAGE CORP)</t>
  </si>
  <si>
    <t>FIZZ</t>
  </si>
  <si>
    <t>US6350171061</t>
  </si>
  <si>
    <t>GE에어로스페이스(GE AEROSPACE)</t>
  </si>
  <si>
    <t>GE</t>
  </si>
  <si>
    <t>US3696043013</t>
  </si>
  <si>
    <t>쿨리크 앤드 소파 인더스트리스(KULICKE &amp; SOFFA IN..</t>
  </si>
  <si>
    <t>KLIC</t>
  </si>
  <si>
    <t>US5012421013</t>
  </si>
  <si>
    <t>룰루레몬 애슬레티카(LULULEMON ATHLETICA INC)</t>
  </si>
  <si>
    <t>LULU</t>
  </si>
  <si>
    <t>US5500211090</t>
  </si>
  <si>
    <t>몬스터 베버리지(MONSTER BEVERAGE CORP)</t>
  </si>
  <si>
    <t>MNST</t>
  </si>
  <si>
    <t>US61174X1090</t>
  </si>
  <si>
    <t>페이첵스(PAYCHEX INC)</t>
  </si>
  <si>
    <t>PAYX</t>
  </si>
  <si>
    <t>US7043261079</t>
  </si>
  <si>
    <t>파카 하니핀(PARKER-HANNIFIN CORP)</t>
  </si>
  <si>
    <t>PH</t>
  </si>
  <si>
    <t>US7010941042</t>
  </si>
  <si>
    <t>테크노글래스(TECNOGLASS INC)</t>
  </si>
  <si>
    <t>TGLS</t>
  </si>
  <si>
    <t>KYG872641009</t>
  </si>
  <si>
    <t>서먼 그룹 홀딩스(THERMON GROUP HOLDINGS)</t>
  </si>
  <si>
    <t>THR</t>
  </si>
  <si>
    <t>US88362T1034</t>
  </si>
  <si>
    <t>텍사스 로드하우스(TEXAS ROADHOUSE INC)</t>
  </si>
  <si>
    <t>TXRH</t>
  </si>
  <si>
    <t>US8826811098</t>
  </si>
  <si>
    <t>유비퀴티(UBIQUITI INC)</t>
  </si>
  <si>
    <t>UI</t>
  </si>
  <si>
    <t>US90353W1036</t>
  </si>
  <si>
    <t>밸보라인(VALVOLINE INC)</t>
  </si>
  <si>
    <t>VVV</t>
  </si>
  <si>
    <t>US92047W1018</t>
  </si>
  <si>
    <t>웨스트 파마슈티컬 서비시즈(WEST PHARMACEUTICAL S..</t>
  </si>
  <si>
    <t>WST</t>
  </si>
  <si>
    <t>US9553061055</t>
  </si>
  <si>
    <t>아이벡스(IBEX LTD)</t>
  </si>
  <si>
    <t>IBEX</t>
  </si>
  <si>
    <t>BMG4690M1010</t>
  </si>
  <si>
    <t>커피 홀딩(COFFEE HLDG CO INC)</t>
  </si>
  <si>
    <t>JVA</t>
  </si>
  <si>
    <t>US1921761052</t>
  </si>
  <si>
    <t>자이어 테라퓨틱스(GYRE THERAPEUTICS INC)</t>
  </si>
  <si>
    <t>GYRE</t>
  </si>
  <si>
    <t>US4037831033</t>
  </si>
  <si>
    <t>2025/03/14</t>
  </si>
  <si>
    <t>2025/03/18</t>
  </si>
  <si>
    <t>2025/04/01</t>
  </si>
  <si>
    <t>2025/04/03</t>
  </si>
  <si>
    <t>필립 모리스 인터내셔널(PHILIP MORRIS INTERNATION..</t>
  </si>
  <si>
    <t>PM</t>
  </si>
  <si>
    <t>US7181721090</t>
  </si>
  <si>
    <t>2025/04/07</t>
  </si>
  <si>
    <t>2025/04/04</t>
  </si>
  <si>
    <t>2025/04/08</t>
  </si>
  <si>
    <t>2025/04/25</t>
  </si>
  <si>
    <t>2025/04/29</t>
  </si>
  <si>
    <t>2025/05/08</t>
  </si>
  <si>
    <t>2025/05/12</t>
  </si>
  <si>
    <t xml:space="preserve">매수 이유 </t>
    <phoneticPr fontId="1" type="noConversion"/>
  </si>
  <si>
    <t xml:space="preserve">통신장비 (라우터, 허브)등의 글로벌 투자수요 증가로 미국 관련 제품의 수출 지속적인 증가 </t>
    <phoneticPr fontId="1" type="noConversion"/>
  </si>
  <si>
    <t xml:space="preserve">매출 예측 </t>
    <phoneticPr fontId="1" type="noConversion"/>
  </si>
  <si>
    <t xml:space="preserve">향후 4분기 연속 매출기록을 갈아치우며 성장할 것으로 예상됨 </t>
    <phoneticPr fontId="1" type="noConversion"/>
  </si>
  <si>
    <t xml:space="preserve">ANET의 매출과 851762와의 통계적 상관관계는 0.91에 달함 </t>
    <phoneticPr fontId="1" type="noConversion"/>
  </si>
  <si>
    <t>valuation</t>
    <phoneticPr fontId="1" type="noConversion"/>
  </si>
  <si>
    <t>분기 예상매출</t>
    <phoneticPr fontId="1" type="noConversion"/>
  </si>
  <si>
    <t>예측 PSR</t>
    <phoneticPr fontId="1" type="noConversion"/>
  </si>
  <si>
    <t>현재 PSR</t>
    <phoneticPr fontId="1" type="noConversion"/>
  </si>
  <si>
    <t>SARIMA  추정 시총</t>
    <phoneticPr fontId="1" type="noConversion"/>
  </si>
  <si>
    <t>주관적 추정 시총</t>
    <phoneticPr fontId="1" type="noConversion"/>
  </si>
  <si>
    <t xml:space="preserve">Target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</si>
</sst>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1190625</xdr:colOff>
      <xdr:row>4</xdr:row>
      <xdr:rowOff>9525</xdr:rowOff>
    </xdr:from>
    <xdr:to>
      <xdr:col>14</xdr:col>
      <xdr:colOff>295275</xdr:colOff>
      <xdr:row>30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A538D05-8A32-D8B9-6D7C-9B95C11D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8477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37</xdr:row>
      <xdr:rowOff>152400</xdr:rowOff>
    </xdr:from>
    <xdr:to>
      <xdr:col>14</xdr:col>
      <xdr:colOff>352425</xdr:colOff>
      <xdr:row>60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10EB6D6-3423-F010-9F95-8A4A85540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7905750"/>
          <a:ext cx="11325225" cy="466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3B7B-8D01-49F7-8FD5-6373E0244387}">
  <dimension ref="A1:T36"/>
  <sheetViews>
    <sheetView workbookViewId="0">
      <selection activeCell="P6" sqref="P6"/>
    </sheetView>
  </sheetViews>
  <sheetFormatPr defaultRowHeight="16.5" x14ac:dyDescent="0.3"/>
  <cols>
    <col min="1" max="1" width="11.75" customWidth="1"/>
    <col min="2" max="2" width="10.625" customWidth="1"/>
    <col min="3" max="3" width="15.625" customWidth="1"/>
    <col min="4" max="4" width="14.75" customWidth="1"/>
    <col min="5" max="5" width="13.625" customWidth="1"/>
    <col min="6" max="6" width="15.625" customWidth="1"/>
    <col min="7" max="7" width="6.5" customWidth="1"/>
    <col min="8" max="8" width="18.125" customWidth="1"/>
    <col min="9" max="9" width="14" customWidth="1"/>
    <col min="10" max="10" width="9.75" customWidth="1"/>
  </cols>
  <sheetData>
    <row r="1" spans="1:2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0</v>
      </c>
      <c r="N1" s="1" t="s">
        <v>1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 s="3" t="s">
        <v>18</v>
      </c>
      <c r="B2" s="3" t="s">
        <v>19</v>
      </c>
      <c r="C2" s="4">
        <v>221</v>
      </c>
      <c r="D2" s="5">
        <v>11.36</v>
      </c>
      <c r="E2" s="3" t="s">
        <v>19</v>
      </c>
      <c r="F2" s="5">
        <v>2510.56</v>
      </c>
      <c r="G2" s="3" t="s">
        <v>20</v>
      </c>
      <c r="H2" s="4">
        <v>1446.3</v>
      </c>
      <c r="I2" s="3" t="s">
        <v>21</v>
      </c>
      <c r="J2" s="3" t="s">
        <v>22</v>
      </c>
      <c r="K2" s="5">
        <v>2504.21</v>
      </c>
      <c r="L2" s="5">
        <v>6.35</v>
      </c>
      <c r="M2" s="2" t="s">
        <v>23</v>
      </c>
      <c r="N2" s="2" t="s">
        <v>24</v>
      </c>
      <c r="Q2" s="2" t="s">
        <v>25</v>
      </c>
      <c r="R2" s="3" t="s">
        <v>26</v>
      </c>
      <c r="S2" s="6">
        <v>18276</v>
      </c>
      <c r="T2" s="6">
        <v>1</v>
      </c>
    </row>
    <row r="3" spans="1:20" x14ac:dyDescent="0.3">
      <c r="A3" s="3" t="s">
        <v>18</v>
      </c>
      <c r="B3" s="3" t="s">
        <v>19</v>
      </c>
      <c r="C3" s="4">
        <v>124</v>
      </c>
      <c r="D3" s="5">
        <v>24.1</v>
      </c>
      <c r="E3" s="3" t="s">
        <v>19</v>
      </c>
      <c r="F3" s="5">
        <v>2988.4</v>
      </c>
      <c r="G3" s="3" t="s">
        <v>20</v>
      </c>
      <c r="H3" s="4">
        <v>1446.3</v>
      </c>
      <c r="I3" s="3" t="s">
        <v>21</v>
      </c>
      <c r="J3" s="3" t="s">
        <v>22</v>
      </c>
      <c r="K3" s="5">
        <v>2980.84</v>
      </c>
      <c r="L3" s="5">
        <v>7.56</v>
      </c>
      <c r="M3" s="2" t="s">
        <v>27</v>
      </c>
      <c r="N3" s="2" t="s">
        <v>28</v>
      </c>
      <c r="Q3" s="2" t="s">
        <v>29</v>
      </c>
      <c r="R3" s="3" t="s">
        <v>26</v>
      </c>
      <c r="S3" s="6">
        <v>18280</v>
      </c>
      <c r="T3" s="6">
        <v>2</v>
      </c>
    </row>
    <row r="4" spans="1:20" x14ac:dyDescent="0.3">
      <c r="A4" s="3" t="s">
        <v>18</v>
      </c>
      <c r="B4" s="3" t="s">
        <v>19</v>
      </c>
      <c r="C4" s="4">
        <v>90</v>
      </c>
      <c r="D4" s="5">
        <v>31.31</v>
      </c>
      <c r="E4" s="3" t="s">
        <v>19</v>
      </c>
      <c r="F4" s="5">
        <v>2817.9</v>
      </c>
      <c r="G4" s="3" t="s">
        <v>20</v>
      </c>
      <c r="H4" s="4">
        <v>1446.3</v>
      </c>
      <c r="I4" s="3" t="s">
        <v>21</v>
      </c>
      <c r="J4" s="3" t="s">
        <v>22</v>
      </c>
      <c r="K4" s="5">
        <v>2810.78</v>
      </c>
      <c r="L4" s="5">
        <v>7.12</v>
      </c>
      <c r="M4" s="2" t="s">
        <v>30</v>
      </c>
      <c r="N4" s="2" t="s">
        <v>31</v>
      </c>
      <c r="Q4" s="2" t="s">
        <v>32</v>
      </c>
      <c r="R4" s="3" t="s">
        <v>26</v>
      </c>
      <c r="S4" s="6">
        <v>18283</v>
      </c>
      <c r="T4" s="6">
        <v>3</v>
      </c>
    </row>
    <row r="5" spans="1:20" x14ac:dyDescent="0.3">
      <c r="A5" s="3" t="s">
        <v>18</v>
      </c>
      <c r="B5" s="3" t="s">
        <v>19</v>
      </c>
      <c r="C5" s="4">
        <v>220</v>
      </c>
      <c r="D5" s="5">
        <v>11.41</v>
      </c>
      <c r="E5" s="3" t="s">
        <v>19</v>
      </c>
      <c r="F5" s="5">
        <v>2510.1999999999998</v>
      </c>
      <c r="G5" s="3" t="s">
        <v>20</v>
      </c>
      <c r="H5" s="4">
        <v>1446.3</v>
      </c>
      <c r="I5" s="3" t="s">
        <v>21</v>
      </c>
      <c r="J5" s="3" t="s">
        <v>22</v>
      </c>
      <c r="K5" s="5">
        <v>2503.85</v>
      </c>
      <c r="L5" s="5">
        <v>6.35</v>
      </c>
      <c r="M5" s="2" t="s">
        <v>33</v>
      </c>
      <c r="N5" s="2" t="s">
        <v>34</v>
      </c>
      <c r="Q5" s="2" t="s">
        <v>35</v>
      </c>
      <c r="R5" s="3" t="s">
        <v>26</v>
      </c>
      <c r="S5" s="6">
        <v>18295</v>
      </c>
      <c r="T5" s="6">
        <v>4</v>
      </c>
    </row>
    <row r="6" spans="1:20" x14ac:dyDescent="0.3">
      <c r="A6" s="3" t="s">
        <v>18</v>
      </c>
      <c r="B6" s="3" t="s">
        <v>19</v>
      </c>
      <c r="C6" s="4">
        <v>107</v>
      </c>
      <c r="D6" s="5">
        <v>25.83</v>
      </c>
      <c r="E6" s="3" t="s">
        <v>19</v>
      </c>
      <c r="F6" s="5">
        <v>2763.81</v>
      </c>
      <c r="G6" s="3" t="s">
        <v>20</v>
      </c>
      <c r="H6" s="4">
        <v>1446.3</v>
      </c>
      <c r="I6" s="3" t="s">
        <v>21</v>
      </c>
      <c r="J6" s="3" t="s">
        <v>22</v>
      </c>
      <c r="K6" s="5">
        <v>2756.82</v>
      </c>
      <c r="L6" s="5">
        <v>6.99</v>
      </c>
      <c r="M6" s="2" t="s">
        <v>36</v>
      </c>
      <c r="N6" s="2" t="s">
        <v>37</v>
      </c>
      <c r="Q6" s="2" t="s">
        <v>38</v>
      </c>
      <c r="R6" s="3" t="s">
        <v>26</v>
      </c>
      <c r="S6" s="6">
        <v>18302</v>
      </c>
      <c r="T6" s="6">
        <v>5</v>
      </c>
    </row>
    <row r="7" spans="1:20" x14ac:dyDescent="0.3">
      <c r="A7" s="3" t="s">
        <v>39</v>
      </c>
      <c r="B7" s="3" t="s">
        <v>40</v>
      </c>
      <c r="C7" s="4">
        <v>12</v>
      </c>
      <c r="D7" s="5">
        <v>185.1</v>
      </c>
      <c r="E7" s="3" t="s">
        <v>40</v>
      </c>
      <c r="F7" s="5">
        <v>2221.1999999999998</v>
      </c>
      <c r="G7" s="3" t="s">
        <v>20</v>
      </c>
      <c r="H7" s="4">
        <v>1451.5</v>
      </c>
      <c r="I7" s="3" t="s">
        <v>21</v>
      </c>
      <c r="J7" s="3" t="s">
        <v>41</v>
      </c>
      <c r="K7" s="5">
        <v>2226.75</v>
      </c>
      <c r="L7" s="5">
        <v>5.55</v>
      </c>
      <c r="M7" s="2" t="s">
        <v>42</v>
      </c>
      <c r="N7" s="2" t="s">
        <v>43</v>
      </c>
      <c r="Q7" s="2" t="s">
        <v>44</v>
      </c>
      <c r="R7" s="3" t="s">
        <v>26</v>
      </c>
      <c r="S7" s="6">
        <v>56953</v>
      </c>
      <c r="T7" s="6">
        <v>1</v>
      </c>
    </row>
    <row r="8" spans="1:20" x14ac:dyDescent="0.3">
      <c r="A8" s="3" t="s">
        <v>39</v>
      </c>
      <c r="B8" s="3" t="s">
        <v>40</v>
      </c>
      <c r="C8" s="4">
        <v>130</v>
      </c>
      <c r="D8" s="5">
        <v>16.91</v>
      </c>
      <c r="E8" s="3" t="s">
        <v>40</v>
      </c>
      <c r="F8" s="5">
        <v>2198.3000000000002</v>
      </c>
      <c r="G8" s="3" t="s">
        <v>20</v>
      </c>
      <c r="H8" s="4">
        <v>1451.5</v>
      </c>
      <c r="I8" s="3" t="s">
        <v>21</v>
      </c>
      <c r="J8" s="3" t="s">
        <v>41</v>
      </c>
      <c r="K8" s="5">
        <v>2203.8000000000002</v>
      </c>
      <c r="L8" s="5">
        <v>5.5</v>
      </c>
      <c r="M8" s="2" t="s">
        <v>45</v>
      </c>
      <c r="N8" s="2" t="s">
        <v>46</v>
      </c>
      <c r="Q8" s="2" t="s">
        <v>47</v>
      </c>
      <c r="R8" s="3" t="s">
        <v>26</v>
      </c>
      <c r="S8" s="6">
        <v>57039</v>
      </c>
      <c r="T8" s="6">
        <v>2</v>
      </c>
    </row>
    <row r="9" spans="1:20" x14ac:dyDescent="0.3">
      <c r="A9" s="3" t="s">
        <v>39</v>
      </c>
      <c r="B9" s="3" t="s">
        <v>40</v>
      </c>
      <c r="C9" s="4">
        <v>4</v>
      </c>
      <c r="D9" s="5">
        <v>598.52499999999998</v>
      </c>
      <c r="E9" s="3" t="s">
        <v>40</v>
      </c>
      <c r="F9" s="5">
        <v>2394.1</v>
      </c>
      <c r="G9" s="3" t="s">
        <v>20</v>
      </c>
      <c r="H9" s="4">
        <v>1451.5</v>
      </c>
      <c r="I9" s="3" t="s">
        <v>21</v>
      </c>
      <c r="J9" s="3" t="s">
        <v>41</v>
      </c>
      <c r="K9" s="5">
        <v>2400.09</v>
      </c>
      <c r="L9" s="5">
        <v>5.99</v>
      </c>
      <c r="M9" s="2" t="s">
        <v>48</v>
      </c>
      <c r="N9" s="2" t="s">
        <v>49</v>
      </c>
      <c r="Q9" s="2" t="s">
        <v>50</v>
      </c>
      <c r="R9" s="3" t="s">
        <v>26</v>
      </c>
      <c r="S9" s="6">
        <v>57123</v>
      </c>
      <c r="T9" s="6">
        <v>3</v>
      </c>
    </row>
    <row r="10" spans="1:20" x14ac:dyDescent="0.3">
      <c r="A10" s="3" t="s">
        <v>39</v>
      </c>
      <c r="B10" s="3" t="s">
        <v>40</v>
      </c>
      <c r="C10" s="4">
        <v>14</v>
      </c>
      <c r="D10" s="5">
        <v>151.27000000000001</v>
      </c>
      <c r="E10" s="3" t="s">
        <v>40</v>
      </c>
      <c r="F10" s="5">
        <v>2117.7800000000002</v>
      </c>
      <c r="G10" s="3" t="s">
        <v>20</v>
      </c>
      <c r="H10" s="4">
        <v>1451.5</v>
      </c>
      <c r="I10" s="3" t="s">
        <v>21</v>
      </c>
      <c r="J10" s="3" t="s">
        <v>41</v>
      </c>
      <c r="K10" s="5">
        <v>2123.0700000000002</v>
      </c>
      <c r="L10" s="5">
        <v>5.29</v>
      </c>
      <c r="M10" s="2" t="s">
        <v>51</v>
      </c>
      <c r="N10" s="2" t="s">
        <v>52</v>
      </c>
      <c r="Q10" s="2" t="s">
        <v>53</v>
      </c>
      <c r="R10" s="3" t="s">
        <v>26</v>
      </c>
      <c r="S10" s="6">
        <v>57250</v>
      </c>
      <c r="T10" s="6">
        <v>4</v>
      </c>
    </row>
    <row r="11" spans="1:20" x14ac:dyDescent="0.3">
      <c r="A11" s="3" t="s">
        <v>39</v>
      </c>
      <c r="B11" s="3" t="s">
        <v>40</v>
      </c>
      <c r="C11" s="4">
        <v>50</v>
      </c>
      <c r="D11" s="5">
        <v>40.605600000000003</v>
      </c>
      <c r="E11" s="3" t="s">
        <v>40</v>
      </c>
      <c r="F11" s="5">
        <v>2030.28</v>
      </c>
      <c r="G11" s="3" t="s">
        <v>20</v>
      </c>
      <c r="H11" s="4">
        <v>1451.5</v>
      </c>
      <c r="I11" s="3" t="s">
        <v>21</v>
      </c>
      <c r="J11" s="3" t="s">
        <v>41</v>
      </c>
      <c r="K11" s="5">
        <v>2035.36</v>
      </c>
      <c r="L11" s="5">
        <v>5.08</v>
      </c>
      <c r="M11" s="2" t="s">
        <v>54</v>
      </c>
      <c r="N11" s="2" t="s">
        <v>55</v>
      </c>
      <c r="Q11" s="2" t="s">
        <v>56</v>
      </c>
      <c r="R11" s="3" t="s">
        <v>26</v>
      </c>
      <c r="S11" s="6">
        <v>57371</v>
      </c>
      <c r="T11" s="6">
        <v>5</v>
      </c>
    </row>
    <row r="12" spans="1:20" x14ac:dyDescent="0.3">
      <c r="A12" s="3" t="s">
        <v>39</v>
      </c>
      <c r="B12" s="3" t="s">
        <v>40</v>
      </c>
      <c r="C12" s="4">
        <v>12</v>
      </c>
      <c r="D12" s="5">
        <v>190.06</v>
      </c>
      <c r="E12" s="3" t="s">
        <v>40</v>
      </c>
      <c r="F12" s="5">
        <v>2280.7199999999998</v>
      </c>
      <c r="G12" s="3" t="s">
        <v>20</v>
      </c>
      <c r="H12" s="4">
        <v>1451.5</v>
      </c>
      <c r="I12" s="3" t="s">
        <v>21</v>
      </c>
      <c r="J12" s="3" t="s">
        <v>41</v>
      </c>
      <c r="K12" s="5">
        <v>2286.42</v>
      </c>
      <c r="L12" s="5">
        <v>5.7</v>
      </c>
      <c r="M12" s="2" t="s">
        <v>57</v>
      </c>
      <c r="N12" s="2" t="s">
        <v>58</v>
      </c>
      <c r="Q12" s="2" t="s">
        <v>59</v>
      </c>
      <c r="R12" s="3" t="s">
        <v>26</v>
      </c>
      <c r="S12" s="6">
        <v>57455</v>
      </c>
      <c r="T12" s="6">
        <v>6</v>
      </c>
    </row>
    <row r="13" spans="1:20" x14ac:dyDescent="0.3">
      <c r="A13" s="3" t="s">
        <v>39</v>
      </c>
      <c r="B13" s="3" t="s">
        <v>40</v>
      </c>
      <c r="C13" s="4">
        <v>55</v>
      </c>
      <c r="D13" s="5">
        <v>37.1</v>
      </c>
      <c r="E13" s="3" t="s">
        <v>40</v>
      </c>
      <c r="F13" s="5">
        <v>2040.5</v>
      </c>
      <c r="G13" s="3" t="s">
        <v>20</v>
      </c>
      <c r="H13" s="4">
        <v>1451.5</v>
      </c>
      <c r="I13" s="3" t="s">
        <v>21</v>
      </c>
      <c r="J13" s="3" t="s">
        <v>41</v>
      </c>
      <c r="K13" s="5">
        <v>2045.6</v>
      </c>
      <c r="L13" s="5">
        <v>5.0999999999999996</v>
      </c>
      <c r="M13" s="2" t="s">
        <v>60</v>
      </c>
      <c r="N13" s="2" t="s">
        <v>61</v>
      </c>
      <c r="Q13" s="2" t="s">
        <v>62</v>
      </c>
      <c r="R13" s="3" t="s">
        <v>26</v>
      </c>
      <c r="S13" s="6">
        <v>57748</v>
      </c>
      <c r="T13" s="6">
        <v>7</v>
      </c>
    </row>
    <row r="14" spans="1:20" x14ac:dyDescent="0.3">
      <c r="A14" s="3" t="s">
        <v>39</v>
      </c>
      <c r="B14" s="3" t="s">
        <v>40</v>
      </c>
      <c r="C14" s="4">
        <v>6</v>
      </c>
      <c r="D14" s="5">
        <v>334.91250000000002</v>
      </c>
      <c r="E14" s="3" t="s">
        <v>40</v>
      </c>
      <c r="F14" s="5">
        <v>2009.4749999999999</v>
      </c>
      <c r="G14" s="3" t="s">
        <v>20</v>
      </c>
      <c r="H14" s="4">
        <v>1451.5</v>
      </c>
      <c r="I14" s="3" t="s">
        <v>21</v>
      </c>
      <c r="J14" s="3" t="s">
        <v>41</v>
      </c>
      <c r="K14" s="5">
        <v>2014.4949999999999</v>
      </c>
      <c r="L14" s="5">
        <v>5.0199999999999996</v>
      </c>
      <c r="M14" s="2" t="s">
        <v>63</v>
      </c>
      <c r="N14" s="2" t="s">
        <v>64</v>
      </c>
      <c r="Q14" s="2" t="s">
        <v>65</v>
      </c>
      <c r="R14" s="3" t="s">
        <v>26</v>
      </c>
      <c r="S14" s="6">
        <v>57837</v>
      </c>
      <c r="T14" s="6">
        <v>8</v>
      </c>
    </row>
    <row r="15" spans="1:20" x14ac:dyDescent="0.3">
      <c r="A15" s="3" t="s">
        <v>39</v>
      </c>
      <c r="B15" s="3" t="s">
        <v>40</v>
      </c>
      <c r="C15" s="4">
        <v>40</v>
      </c>
      <c r="D15" s="5">
        <v>55.72</v>
      </c>
      <c r="E15" s="3" t="s">
        <v>40</v>
      </c>
      <c r="F15" s="5">
        <v>2228.8000000000002</v>
      </c>
      <c r="G15" s="3" t="s">
        <v>20</v>
      </c>
      <c r="H15" s="4">
        <v>1451.5</v>
      </c>
      <c r="I15" s="3" t="s">
        <v>21</v>
      </c>
      <c r="J15" s="3" t="s">
        <v>41</v>
      </c>
      <c r="K15" s="5">
        <v>2234.37</v>
      </c>
      <c r="L15" s="5">
        <v>5.57</v>
      </c>
      <c r="M15" s="2" t="s">
        <v>66</v>
      </c>
      <c r="N15" s="2" t="s">
        <v>67</v>
      </c>
      <c r="Q15" s="2" t="s">
        <v>68</v>
      </c>
      <c r="R15" s="3" t="s">
        <v>26</v>
      </c>
      <c r="S15" s="6">
        <v>57965</v>
      </c>
      <c r="T15" s="6">
        <v>9</v>
      </c>
    </row>
    <row r="16" spans="1:20" x14ac:dyDescent="0.3">
      <c r="A16" s="3" t="s">
        <v>39</v>
      </c>
      <c r="B16" s="3" t="s">
        <v>40</v>
      </c>
      <c r="C16" s="4">
        <v>14</v>
      </c>
      <c r="D16" s="5">
        <v>150.71</v>
      </c>
      <c r="E16" s="3" t="s">
        <v>40</v>
      </c>
      <c r="F16" s="5">
        <v>2109.94</v>
      </c>
      <c r="G16" s="3" t="s">
        <v>20</v>
      </c>
      <c r="H16" s="4">
        <v>1451.5</v>
      </c>
      <c r="I16" s="3" t="s">
        <v>21</v>
      </c>
      <c r="J16" s="3" t="s">
        <v>41</v>
      </c>
      <c r="K16" s="5">
        <v>2115.21</v>
      </c>
      <c r="L16" s="5">
        <v>5.27</v>
      </c>
      <c r="M16" s="2" t="s">
        <v>69</v>
      </c>
      <c r="N16" s="2" t="s">
        <v>70</v>
      </c>
      <c r="Q16" s="2" t="s">
        <v>71</v>
      </c>
      <c r="R16" s="3" t="s">
        <v>26</v>
      </c>
      <c r="S16" s="6">
        <v>58024</v>
      </c>
      <c r="T16" s="6">
        <v>10</v>
      </c>
    </row>
    <row r="17" spans="1:20" x14ac:dyDescent="0.3">
      <c r="A17" s="3" t="s">
        <v>39</v>
      </c>
      <c r="B17" s="3" t="s">
        <v>40</v>
      </c>
      <c r="C17" s="4">
        <v>3</v>
      </c>
      <c r="D17" s="5">
        <v>622.79999999999995</v>
      </c>
      <c r="E17" s="3" t="s">
        <v>40</v>
      </c>
      <c r="F17" s="5">
        <v>1868.4</v>
      </c>
      <c r="G17" s="3" t="s">
        <v>20</v>
      </c>
      <c r="H17" s="4">
        <v>1451.5</v>
      </c>
      <c r="I17" s="3" t="s">
        <v>21</v>
      </c>
      <c r="J17" s="3" t="s">
        <v>41</v>
      </c>
      <c r="K17" s="5">
        <v>1873.07</v>
      </c>
      <c r="L17" s="5">
        <v>4.67</v>
      </c>
      <c r="M17" s="2" t="s">
        <v>72</v>
      </c>
      <c r="N17" s="2" t="s">
        <v>73</v>
      </c>
      <c r="Q17" s="2" t="s">
        <v>74</v>
      </c>
      <c r="R17" s="3" t="s">
        <v>26</v>
      </c>
      <c r="S17" s="6">
        <v>58109</v>
      </c>
      <c r="T17" s="6">
        <v>11</v>
      </c>
    </row>
    <row r="18" spans="1:20" x14ac:dyDescent="0.3">
      <c r="A18" s="3" t="s">
        <v>39</v>
      </c>
      <c r="B18" s="3" t="s">
        <v>40</v>
      </c>
      <c r="C18" s="4">
        <v>32</v>
      </c>
      <c r="D18" s="5">
        <v>65.254999999999995</v>
      </c>
      <c r="E18" s="3" t="s">
        <v>40</v>
      </c>
      <c r="F18" s="5">
        <v>2088.16</v>
      </c>
      <c r="G18" s="3" t="s">
        <v>20</v>
      </c>
      <c r="H18" s="4">
        <v>1451.5</v>
      </c>
      <c r="I18" s="3" t="s">
        <v>21</v>
      </c>
      <c r="J18" s="3" t="s">
        <v>41</v>
      </c>
      <c r="K18" s="5">
        <v>2093.38</v>
      </c>
      <c r="L18" s="5">
        <v>5.22</v>
      </c>
      <c r="M18" s="2" t="s">
        <v>75</v>
      </c>
      <c r="N18" s="2" t="s">
        <v>76</v>
      </c>
      <c r="Q18" s="2" t="s">
        <v>77</v>
      </c>
      <c r="R18" s="3" t="s">
        <v>26</v>
      </c>
      <c r="S18" s="6">
        <v>58189</v>
      </c>
      <c r="T18" s="6">
        <v>12</v>
      </c>
    </row>
    <row r="19" spans="1:20" x14ac:dyDescent="0.3">
      <c r="A19" s="3" t="s">
        <v>39</v>
      </c>
      <c r="B19" s="3" t="s">
        <v>40</v>
      </c>
      <c r="C19" s="4">
        <v>75</v>
      </c>
      <c r="D19" s="5">
        <v>27.92</v>
      </c>
      <c r="E19" s="3" t="s">
        <v>40</v>
      </c>
      <c r="F19" s="5">
        <v>2094</v>
      </c>
      <c r="G19" s="3" t="s">
        <v>20</v>
      </c>
      <c r="H19" s="4">
        <v>1451.5</v>
      </c>
      <c r="I19" s="3" t="s">
        <v>21</v>
      </c>
      <c r="J19" s="3" t="s">
        <v>41</v>
      </c>
      <c r="K19" s="5">
        <v>2099.2399999999998</v>
      </c>
      <c r="L19" s="5">
        <v>5.24</v>
      </c>
      <c r="M19" s="2" t="s">
        <v>78</v>
      </c>
      <c r="N19" s="2" t="s">
        <v>79</v>
      </c>
      <c r="Q19" s="2" t="s">
        <v>80</v>
      </c>
      <c r="R19" s="3" t="s">
        <v>26</v>
      </c>
      <c r="S19" s="6">
        <v>58292</v>
      </c>
      <c r="T19" s="6">
        <v>13</v>
      </c>
    </row>
    <row r="20" spans="1:20" x14ac:dyDescent="0.3">
      <c r="A20" s="3" t="s">
        <v>39</v>
      </c>
      <c r="B20" s="3" t="s">
        <v>40</v>
      </c>
      <c r="C20" s="4">
        <v>13</v>
      </c>
      <c r="D20" s="5">
        <v>172.92250000000001</v>
      </c>
      <c r="E20" s="3" t="s">
        <v>40</v>
      </c>
      <c r="F20" s="5">
        <v>2247.9924999999998</v>
      </c>
      <c r="G20" s="3" t="s">
        <v>20</v>
      </c>
      <c r="H20" s="4">
        <v>1451.5</v>
      </c>
      <c r="I20" s="3" t="s">
        <v>21</v>
      </c>
      <c r="J20" s="3" t="s">
        <v>41</v>
      </c>
      <c r="K20" s="5">
        <v>2253.6125000000002</v>
      </c>
      <c r="L20" s="5">
        <v>5.62</v>
      </c>
      <c r="M20" s="2" t="s">
        <v>81</v>
      </c>
      <c r="N20" s="2" t="s">
        <v>82</v>
      </c>
      <c r="Q20" s="2" t="s">
        <v>83</v>
      </c>
      <c r="R20" s="3" t="s">
        <v>26</v>
      </c>
      <c r="S20" s="6">
        <v>58350</v>
      </c>
      <c r="T20" s="6">
        <v>14</v>
      </c>
    </row>
    <row r="21" spans="1:20" x14ac:dyDescent="0.3">
      <c r="A21" s="3" t="s">
        <v>39</v>
      </c>
      <c r="B21" s="3" t="s">
        <v>40</v>
      </c>
      <c r="C21" s="4">
        <v>7</v>
      </c>
      <c r="D21" s="5">
        <v>305.98</v>
      </c>
      <c r="E21" s="3" t="s">
        <v>40</v>
      </c>
      <c r="F21" s="5">
        <v>2141.86</v>
      </c>
      <c r="G21" s="3" t="s">
        <v>20</v>
      </c>
      <c r="H21" s="4">
        <v>1451.5</v>
      </c>
      <c r="I21" s="3" t="s">
        <v>21</v>
      </c>
      <c r="J21" s="3" t="s">
        <v>41</v>
      </c>
      <c r="K21" s="5">
        <v>2147.21</v>
      </c>
      <c r="L21" s="5">
        <v>5.35</v>
      </c>
      <c r="M21" s="2" t="s">
        <v>84</v>
      </c>
      <c r="N21" s="2" t="s">
        <v>85</v>
      </c>
      <c r="Q21" s="2" t="s">
        <v>86</v>
      </c>
      <c r="R21" s="3" t="s">
        <v>26</v>
      </c>
      <c r="S21" s="6">
        <v>58404</v>
      </c>
      <c r="T21" s="6">
        <v>15</v>
      </c>
    </row>
    <row r="22" spans="1:20" x14ac:dyDescent="0.3">
      <c r="A22" s="3" t="s">
        <v>39</v>
      </c>
      <c r="B22" s="3" t="s">
        <v>40</v>
      </c>
      <c r="C22" s="4">
        <v>60</v>
      </c>
      <c r="D22" s="5">
        <v>34.369999999999997</v>
      </c>
      <c r="E22" s="3" t="s">
        <v>40</v>
      </c>
      <c r="F22" s="5">
        <v>2062.1999999999998</v>
      </c>
      <c r="G22" s="3" t="s">
        <v>20</v>
      </c>
      <c r="H22" s="4">
        <v>1451.5</v>
      </c>
      <c r="I22" s="3" t="s">
        <v>21</v>
      </c>
      <c r="J22" s="3" t="s">
        <v>41</v>
      </c>
      <c r="K22" s="5">
        <v>2067.36</v>
      </c>
      <c r="L22" s="5">
        <v>5.16</v>
      </c>
      <c r="M22" s="2" t="s">
        <v>87</v>
      </c>
      <c r="N22" s="2" t="s">
        <v>88</v>
      </c>
      <c r="Q22" s="2" t="s">
        <v>89</v>
      </c>
      <c r="R22" s="3" t="s">
        <v>26</v>
      </c>
      <c r="S22" s="6">
        <v>58499</v>
      </c>
      <c r="T22" s="6">
        <v>16</v>
      </c>
    </row>
    <row r="23" spans="1:20" x14ac:dyDescent="0.3">
      <c r="A23" s="3" t="s">
        <v>39</v>
      </c>
      <c r="B23" s="3" t="s">
        <v>40</v>
      </c>
      <c r="C23" s="4">
        <v>9</v>
      </c>
      <c r="D23" s="5">
        <v>230.94</v>
      </c>
      <c r="E23" s="3" t="s">
        <v>40</v>
      </c>
      <c r="F23" s="5">
        <v>2078.46</v>
      </c>
      <c r="G23" s="3" t="s">
        <v>20</v>
      </c>
      <c r="H23" s="4">
        <v>1451.5</v>
      </c>
      <c r="I23" s="3" t="s">
        <v>21</v>
      </c>
      <c r="J23" s="3" t="s">
        <v>41</v>
      </c>
      <c r="K23" s="5">
        <v>2083.66</v>
      </c>
      <c r="L23" s="5">
        <v>5.2</v>
      </c>
      <c r="M23" s="2" t="s">
        <v>90</v>
      </c>
      <c r="N23" s="2" t="s">
        <v>91</v>
      </c>
      <c r="Q23" s="2" t="s">
        <v>92</v>
      </c>
      <c r="R23" s="3" t="s">
        <v>26</v>
      </c>
      <c r="S23" s="6">
        <v>58563</v>
      </c>
      <c r="T23" s="6">
        <v>17</v>
      </c>
    </row>
    <row r="24" spans="1:20" x14ac:dyDescent="0.3">
      <c r="A24" s="3" t="s">
        <v>39</v>
      </c>
      <c r="B24" s="3" t="s">
        <v>40</v>
      </c>
      <c r="C24" s="4">
        <v>89</v>
      </c>
      <c r="D24" s="5">
        <v>24.715</v>
      </c>
      <c r="E24" s="3" t="s">
        <v>40</v>
      </c>
      <c r="F24" s="5">
        <v>2199.6350000000002</v>
      </c>
      <c r="G24" s="3" t="s">
        <v>20</v>
      </c>
      <c r="H24" s="4">
        <v>1451.5</v>
      </c>
      <c r="I24" s="3" t="s">
        <v>21</v>
      </c>
      <c r="J24" s="3" t="s">
        <v>41</v>
      </c>
      <c r="K24" s="5">
        <v>2205.1350000000002</v>
      </c>
      <c r="L24" s="5">
        <v>5.5</v>
      </c>
      <c r="M24" s="2" t="s">
        <v>93</v>
      </c>
      <c r="N24" s="2" t="s">
        <v>94</v>
      </c>
      <c r="Q24" s="2" t="s">
        <v>95</v>
      </c>
      <c r="R24" s="3" t="s">
        <v>26</v>
      </c>
      <c r="S24" s="6">
        <v>58610</v>
      </c>
      <c r="T24" s="6">
        <v>18</v>
      </c>
    </row>
    <row r="25" spans="1:20" x14ac:dyDescent="0.3">
      <c r="A25" s="3" t="s">
        <v>39</v>
      </c>
      <c r="B25" s="3" t="s">
        <v>40</v>
      </c>
      <c r="C25" s="4">
        <v>230</v>
      </c>
      <c r="D25" s="5">
        <v>8.7200000000000006</v>
      </c>
      <c r="E25" s="3" t="s">
        <v>40</v>
      </c>
      <c r="F25" s="5">
        <v>2005.6</v>
      </c>
      <c r="G25" s="3" t="s">
        <v>20</v>
      </c>
      <c r="H25" s="4">
        <v>1451.5</v>
      </c>
      <c r="I25" s="3" t="s">
        <v>21</v>
      </c>
      <c r="J25" s="3" t="s">
        <v>41</v>
      </c>
      <c r="K25" s="5">
        <v>2010.61</v>
      </c>
      <c r="L25" s="5">
        <v>5.01</v>
      </c>
      <c r="M25" s="2" t="s">
        <v>96</v>
      </c>
      <c r="N25" s="2" t="s">
        <v>97</v>
      </c>
      <c r="Q25" s="2" t="s">
        <v>98</v>
      </c>
      <c r="R25" s="3" t="s">
        <v>26</v>
      </c>
      <c r="S25" s="6">
        <v>58663</v>
      </c>
      <c r="T25" s="6">
        <v>19</v>
      </c>
    </row>
    <row r="26" spans="1:20" x14ac:dyDescent="0.3">
      <c r="A26" s="3" t="s">
        <v>39</v>
      </c>
      <c r="B26" s="3" t="s">
        <v>40</v>
      </c>
      <c r="C26" s="4">
        <v>190</v>
      </c>
      <c r="D26" s="5">
        <v>10.75</v>
      </c>
      <c r="E26" s="3" t="s">
        <v>40</v>
      </c>
      <c r="F26" s="5">
        <v>2042.5</v>
      </c>
      <c r="G26" s="3" t="s">
        <v>20</v>
      </c>
      <c r="H26" s="4">
        <v>1451.5</v>
      </c>
      <c r="I26" s="3" t="s">
        <v>21</v>
      </c>
      <c r="J26" s="3" t="s">
        <v>41</v>
      </c>
      <c r="K26" s="5">
        <v>2047.61</v>
      </c>
      <c r="L26" s="5">
        <v>5.1100000000000003</v>
      </c>
      <c r="M26" s="2" t="s">
        <v>99</v>
      </c>
      <c r="N26" s="2" t="s">
        <v>100</v>
      </c>
      <c r="Q26" s="2" t="s">
        <v>101</v>
      </c>
      <c r="R26" s="3" t="s">
        <v>26</v>
      </c>
      <c r="S26" s="6">
        <v>59493</v>
      </c>
      <c r="T26" s="6">
        <v>20</v>
      </c>
    </row>
    <row r="27" spans="1:20" x14ac:dyDescent="0.3">
      <c r="A27" s="3" t="s">
        <v>102</v>
      </c>
      <c r="B27" s="3" t="s">
        <v>103</v>
      </c>
      <c r="C27" s="4">
        <v>230</v>
      </c>
      <c r="D27" s="5">
        <v>5.76</v>
      </c>
      <c r="E27" s="3" t="s">
        <v>103</v>
      </c>
      <c r="F27" s="5">
        <v>1324.8</v>
      </c>
      <c r="G27" s="3" t="s">
        <v>20</v>
      </c>
      <c r="H27" s="4">
        <v>1448</v>
      </c>
      <c r="I27" s="3" t="s">
        <v>21</v>
      </c>
      <c r="J27" s="3" t="s">
        <v>22</v>
      </c>
      <c r="K27" s="5">
        <v>1321.45</v>
      </c>
      <c r="L27" s="5">
        <v>3.35</v>
      </c>
      <c r="M27" s="2" t="s">
        <v>96</v>
      </c>
      <c r="N27" s="2" t="s">
        <v>97</v>
      </c>
      <c r="Q27" s="2" t="s">
        <v>98</v>
      </c>
      <c r="R27" s="3" t="s">
        <v>26</v>
      </c>
      <c r="S27" s="6">
        <v>24286</v>
      </c>
      <c r="T27" s="6">
        <v>1</v>
      </c>
    </row>
    <row r="28" spans="1:20" x14ac:dyDescent="0.3">
      <c r="A28" s="3" t="s">
        <v>104</v>
      </c>
      <c r="B28" s="3" t="s">
        <v>105</v>
      </c>
      <c r="C28" s="4">
        <v>190</v>
      </c>
      <c r="D28" s="5">
        <v>7.31</v>
      </c>
      <c r="E28" s="3" t="s">
        <v>105</v>
      </c>
      <c r="F28" s="5">
        <v>1388.9</v>
      </c>
      <c r="G28" s="3" t="s">
        <v>20</v>
      </c>
      <c r="H28" s="4">
        <v>1467.8</v>
      </c>
      <c r="I28" s="3" t="s">
        <v>21</v>
      </c>
      <c r="J28" s="3" t="s">
        <v>22</v>
      </c>
      <c r="K28" s="5">
        <v>1385.39</v>
      </c>
      <c r="L28" s="5">
        <v>3.51</v>
      </c>
      <c r="M28" s="2" t="s">
        <v>99</v>
      </c>
      <c r="N28" s="2" t="s">
        <v>100</v>
      </c>
      <c r="Q28" s="2" t="s">
        <v>101</v>
      </c>
      <c r="R28" s="3" t="s">
        <v>26</v>
      </c>
      <c r="S28" s="6">
        <v>20129</v>
      </c>
      <c r="T28" s="6">
        <v>1</v>
      </c>
    </row>
    <row r="29" spans="1:20" x14ac:dyDescent="0.3">
      <c r="A29" s="3" t="s">
        <v>104</v>
      </c>
      <c r="B29" s="3" t="s">
        <v>105</v>
      </c>
      <c r="C29" s="4">
        <v>8</v>
      </c>
      <c r="D29" s="5">
        <v>157.69</v>
      </c>
      <c r="E29" s="3" t="s">
        <v>105</v>
      </c>
      <c r="F29" s="5">
        <v>1261.52</v>
      </c>
      <c r="G29" s="3" t="s">
        <v>20</v>
      </c>
      <c r="H29" s="4">
        <v>1467.8</v>
      </c>
      <c r="I29" s="3" t="s">
        <v>21</v>
      </c>
      <c r="J29" s="3" t="s">
        <v>41</v>
      </c>
      <c r="K29" s="5">
        <v>1264.67</v>
      </c>
      <c r="L29" s="5">
        <v>3.15</v>
      </c>
      <c r="M29" s="2" t="s">
        <v>106</v>
      </c>
      <c r="N29" s="2" t="s">
        <v>107</v>
      </c>
      <c r="Q29" s="2" t="s">
        <v>108</v>
      </c>
      <c r="R29" s="3" t="s">
        <v>26</v>
      </c>
      <c r="S29" s="6">
        <v>54199</v>
      </c>
      <c r="T29" s="6">
        <v>2</v>
      </c>
    </row>
    <row r="30" spans="1:20" x14ac:dyDescent="0.3">
      <c r="A30" s="3" t="s">
        <v>105</v>
      </c>
      <c r="B30" s="3" t="s">
        <v>109</v>
      </c>
      <c r="C30" s="4">
        <v>6</v>
      </c>
      <c r="D30" s="5">
        <v>249.9</v>
      </c>
      <c r="E30" s="3" t="s">
        <v>109</v>
      </c>
      <c r="F30" s="5">
        <v>1499.4</v>
      </c>
      <c r="G30" s="3" t="s">
        <v>20</v>
      </c>
      <c r="H30" s="4">
        <v>1439.3</v>
      </c>
      <c r="I30" s="3" t="s">
        <v>21</v>
      </c>
      <c r="J30" s="3" t="s">
        <v>22</v>
      </c>
      <c r="K30" s="5">
        <v>1495.6</v>
      </c>
      <c r="L30" s="5">
        <v>3.8</v>
      </c>
      <c r="M30" s="2" t="s">
        <v>63</v>
      </c>
      <c r="N30" s="2" t="s">
        <v>64</v>
      </c>
      <c r="Q30" s="2" t="s">
        <v>65</v>
      </c>
      <c r="R30" s="3" t="s">
        <v>26</v>
      </c>
      <c r="S30" s="6">
        <v>12434</v>
      </c>
      <c r="T30" s="6">
        <v>1</v>
      </c>
    </row>
    <row r="31" spans="1:20" x14ac:dyDescent="0.3">
      <c r="A31" s="3" t="s">
        <v>105</v>
      </c>
      <c r="B31" s="3" t="s">
        <v>109</v>
      </c>
      <c r="C31" s="4">
        <v>10</v>
      </c>
      <c r="D31" s="5">
        <v>160.80000000000001</v>
      </c>
      <c r="E31" s="3" t="s">
        <v>109</v>
      </c>
      <c r="F31" s="5">
        <v>1608</v>
      </c>
      <c r="G31" s="3" t="s">
        <v>20</v>
      </c>
      <c r="H31" s="4">
        <v>1439.3</v>
      </c>
      <c r="I31" s="3" t="s">
        <v>21</v>
      </c>
      <c r="J31" s="3" t="s">
        <v>41</v>
      </c>
      <c r="K31" s="5">
        <v>1612.02</v>
      </c>
      <c r="L31" s="5">
        <v>4.0199999999999996</v>
      </c>
      <c r="M31" s="2" t="s">
        <v>106</v>
      </c>
      <c r="N31" s="2" t="s">
        <v>107</v>
      </c>
      <c r="Q31" s="2" t="s">
        <v>108</v>
      </c>
      <c r="R31" s="3" t="s">
        <v>26</v>
      </c>
      <c r="S31" s="6">
        <v>52070</v>
      </c>
      <c r="T31" s="6">
        <v>2</v>
      </c>
    </row>
    <row r="32" spans="1:20" x14ac:dyDescent="0.3">
      <c r="A32" s="3" t="s">
        <v>110</v>
      </c>
      <c r="B32" s="3" t="s">
        <v>111</v>
      </c>
      <c r="C32" s="4">
        <v>55</v>
      </c>
      <c r="D32" s="5">
        <v>27.51</v>
      </c>
      <c r="E32" s="3" t="s">
        <v>111</v>
      </c>
      <c r="F32" s="5">
        <v>1513.05</v>
      </c>
      <c r="G32" s="3" t="s">
        <v>20</v>
      </c>
      <c r="H32" s="4">
        <v>1465.9</v>
      </c>
      <c r="I32" s="3" t="s">
        <v>21</v>
      </c>
      <c r="J32" s="3" t="s">
        <v>22</v>
      </c>
      <c r="K32" s="5">
        <v>1509.22</v>
      </c>
      <c r="L32" s="5">
        <v>3.83</v>
      </c>
      <c r="M32" s="2" t="s">
        <v>60</v>
      </c>
      <c r="N32" s="2" t="s">
        <v>61</v>
      </c>
      <c r="Q32" s="2" t="s">
        <v>62</v>
      </c>
      <c r="R32" s="3" t="s">
        <v>26</v>
      </c>
      <c r="S32" s="6">
        <v>15720</v>
      </c>
      <c r="T32" s="6">
        <v>1</v>
      </c>
    </row>
    <row r="33" spans="1:20" x14ac:dyDescent="0.3">
      <c r="A33" s="3" t="s">
        <v>110</v>
      </c>
      <c r="B33" s="3" t="s">
        <v>111</v>
      </c>
      <c r="C33" s="4">
        <v>12</v>
      </c>
      <c r="D33" s="5">
        <v>142.66</v>
      </c>
      <c r="E33" s="3" t="s">
        <v>111</v>
      </c>
      <c r="F33" s="5">
        <v>1711.92</v>
      </c>
      <c r="G33" s="3" t="s">
        <v>20</v>
      </c>
      <c r="H33" s="4">
        <v>1465.9</v>
      </c>
      <c r="I33" s="3" t="s">
        <v>21</v>
      </c>
      <c r="J33" s="3" t="s">
        <v>22</v>
      </c>
      <c r="K33" s="5">
        <v>1707.59</v>
      </c>
      <c r="L33" s="5">
        <v>4.33</v>
      </c>
      <c r="M33" s="2" t="s">
        <v>42</v>
      </c>
      <c r="N33" s="2" t="s">
        <v>43</v>
      </c>
      <c r="Q33" s="2" t="s">
        <v>44</v>
      </c>
      <c r="R33" s="3" t="s">
        <v>26</v>
      </c>
      <c r="S33" s="6">
        <v>15857</v>
      </c>
      <c r="T33" s="6">
        <v>2</v>
      </c>
    </row>
    <row r="34" spans="1:20" x14ac:dyDescent="0.3">
      <c r="A34" s="3" t="s">
        <v>112</v>
      </c>
      <c r="B34" s="3" t="s">
        <v>113</v>
      </c>
      <c r="C34" s="4">
        <v>130</v>
      </c>
      <c r="D34" s="5">
        <v>12.22</v>
      </c>
      <c r="E34" s="3" t="s">
        <v>113</v>
      </c>
      <c r="F34" s="5">
        <v>1588.6</v>
      </c>
      <c r="G34" s="3" t="s">
        <v>20</v>
      </c>
      <c r="H34" s="4">
        <v>1439.3</v>
      </c>
      <c r="I34" s="3" t="s">
        <v>21</v>
      </c>
      <c r="J34" s="3" t="s">
        <v>22</v>
      </c>
      <c r="K34" s="5">
        <v>1584.58</v>
      </c>
      <c r="L34" s="5">
        <v>4.0199999999999996</v>
      </c>
      <c r="M34" s="2" t="s">
        <v>45</v>
      </c>
      <c r="N34" s="2" t="s">
        <v>46</v>
      </c>
      <c r="Q34" s="2" t="s">
        <v>47</v>
      </c>
      <c r="R34" s="3" t="s">
        <v>26</v>
      </c>
      <c r="S34" s="6">
        <v>22103</v>
      </c>
      <c r="T34" s="6">
        <v>1</v>
      </c>
    </row>
    <row r="35" spans="1:20" x14ac:dyDescent="0.3">
      <c r="A35" s="3" t="s">
        <v>114</v>
      </c>
      <c r="B35" s="3" t="s">
        <v>115</v>
      </c>
      <c r="C35" s="4">
        <v>10</v>
      </c>
      <c r="D35" s="5">
        <v>172.48</v>
      </c>
      <c r="E35" s="3" t="s">
        <v>115</v>
      </c>
      <c r="F35" s="5">
        <v>1724.8</v>
      </c>
      <c r="G35" s="3" t="s">
        <v>20</v>
      </c>
      <c r="H35" s="4">
        <v>1405.6</v>
      </c>
      <c r="I35" s="3" t="s">
        <v>21</v>
      </c>
      <c r="J35" s="3" t="s">
        <v>41</v>
      </c>
      <c r="K35" s="5">
        <v>1729.11</v>
      </c>
      <c r="L35" s="5">
        <v>4.3099999999999996</v>
      </c>
      <c r="M35" s="2" t="s">
        <v>106</v>
      </c>
      <c r="N35" s="2" t="s">
        <v>107</v>
      </c>
      <c r="Q35" s="2" t="s">
        <v>108</v>
      </c>
      <c r="R35" s="3" t="s">
        <v>26</v>
      </c>
      <c r="S35" s="6">
        <v>53811</v>
      </c>
      <c r="T35" s="6">
        <v>1</v>
      </c>
    </row>
    <row r="36" spans="1:20" x14ac:dyDescent="0.3">
      <c r="A36" s="3"/>
      <c r="B36" s="3"/>
      <c r="C36" s="4"/>
      <c r="D36" s="5"/>
      <c r="E36" s="3"/>
      <c r="F36" s="5"/>
      <c r="G36" s="3"/>
      <c r="H36" s="4"/>
      <c r="I36" s="3"/>
      <c r="J36" s="3"/>
      <c r="K36" s="5"/>
      <c r="L36" s="5"/>
      <c r="M36" s="2"/>
      <c r="N36" s="2"/>
      <c r="Q36" s="2"/>
      <c r="R36" s="3"/>
      <c r="S36" s="6"/>
      <c r="T36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1825-A109-4D05-9FEC-BCABB430CA75}">
  <dimension ref="A2:G71"/>
  <sheetViews>
    <sheetView tabSelected="1" topLeftCell="A37" workbookViewId="0">
      <selection activeCell="G71" sqref="G71"/>
    </sheetView>
  </sheetViews>
  <sheetFormatPr defaultRowHeight="16.5" x14ac:dyDescent="0.3"/>
  <cols>
    <col min="1" max="1" width="16.25" customWidth="1"/>
    <col min="2" max="2" width="14.25" customWidth="1"/>
    <col min="3" max="3" width="13.75" bestFit="1" customWidth="1"/>
    <col min="6" max="6" width="18.625" bestFit="1" customWidth="1"/>
    <col min="7" max="7" width="16.5" bestFit="1" customWidth="1"/>
  </cols>
  <sheetData>
    <row r="2" spans="1:2" x14ac:dyDescent="0.3">
      <c r="A2" t="s">
        <v>116</v>
      </c>
      <c r="B2" t="s">
        <v>117</v>
      </c>
    </row>
    <row r="35" spans="1:2" x14ac:dyDescent="0.3">
      <c r="A35" t="s">
        <v>118</v>
      </c>
      <c r="B35" t="s">
        <v>119</v>
      </c>
    </row>
    <row r="63" spans="1:1" x14ac:dyDescent="0.3">
      <c r="A63" t="s">
        <v>120</v>
      </c>
    </row>
    <row r="65" spans="1:7" x14ac:dyDescent="0.3">
      <c r="C65" t="s">
        <v>122</v>
      </c>
      <c r="D65" t="s">
        <v>123</v>
      </c>
      <c r="E65" t="s">
        <v>124</v>
      </c>
      <c r="F65" t="s">
        <v>125</v>
      </c>
      <c r="G65" t="s">
        <v>126</v>
      </c>
    </row>
    <row r="66" spans="1:7" x14ac:dyDescent="0.3">
      <c r="A66" t="s">
        <v>121</v>
      </c>
      <c r="B66" s="7">
        <v>45838</v>
      </c>
      <c r="C66" s="8">
        <v>2092.2362119999998</v>
      </c>
      <c r="D66" s="8">
        <v>48.743012</v>
      </c>
      <c r="E66">
        <v>62</v>
      </c>
      <c r="F66" s="9">
        <f>C66*D66</f>
        <v>101981.89478835053</v>
      </c>
      <c r="G66" s="9">
        <f>C66*E66</f>
        <v>129718.64514399998</v>
      </c>
    </row>
    <row r="67" spans="1:7" x14ac:dyDescent="0.3">
      <c r="B67" s="7">
        <v>45930</v>
      </c>
      <c r="C67" s="8">
        <v>2182.2754009999999</v>
      </c>
      <c r="D67" s="8">
        <v>46.946218000000002</v>
      </c>
      <c r="E67">
        <v>62</v>
      </c>
      <c r="F67" s="9">
        <f t="shared" ref="F67:F69" si="0">C67*D67</f>
        <v>102449.57671138342</v>
      </c>
      <c r="G67" s="9">
        <f t="shared" ref="G67:G69" si="1">C67*E67</f>
        <v>135301.07486199998</v>
      </c>
    </row>
    <row r="68" spans="1:7" x14ac:dyDescent="0.3">
      <c r="B68" s="7">
        <v>46022</v>
      </c>
      <c r="C68" s="8">
        <v>2259.1446369999999</v>
      </c>
      <c r="D68" s="8">
        <v>51.374192999999998</v>
      </c>
      <c r="E68">
        <v>62</v>
      </c>
      <c r="F68" s="9">
        <f t="shared" si="0"/>
        <v>116061.73259615293</v>
      </c>
      <c r="G68" s="9">
        <f t="shared" si="1"/>
        <v>140066.96749399998</v>
      </c>
    </row>
    <row r="69" spans="1:7" x14ac:dyDescent="0.3">
      <c r="B69" s="7">
        <v>46112</v>
      </c>
      <c r="C69" s="8">
        <v>2317.7815850000002</v>
      </c>
      <c r="D69" s="8">
        <v>51.256346999999998</v>
      </c>
      <c r="E69">
        <v>62</v>
      </c>
      <c r="F69" s="9">
        <f t="shared" si="0"/>
        <v>118801.01719097</v>
      </c>
      <c r="G69" s="9">
        <f t="shared" si="1"/>
        <v>143702.45827</v>
      </c>
    </row>
    <row r="71" spans="1:7" x14ac:dyDescent="0.3">
      <c r="F71" t="s">
        <v>127</v>
      </c>
      <c r="G71">
        <v>150000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C8A8-BF85-4896-AF74-7B69626E216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ANET_매수전략</vt:lpstr>
      <vt:lpstr>AMAT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호영</dc:creator>
  <cp:lastModifiedBy>박 호영</cp:lastModifiedBy>
  <dcterms:created xsi:type="dcterms:W3CDTF">2025-05-24T05:51:45Z</dcterms:created>
  <dcterms:modified xsi:type="dcterms:W3CDTF">2025-06-26T17:01:52Z</dcterms:modified>
</cp:coreProperties>
</file>