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82108\OneDrive\바탕 화면\investment\investment_strategy\DATA\"/>
    </mc:Choice>
  </mc:AlternateContent>
  <xr:revisionPtr revIDLastSave="0" documentId="13_ncr:1_{3D9A530B-A53F-49B0-A60C-73BCF9ED226B}" xr6:coauthVersionLast="47" xr6:coauthVersionMax="47" xr10:uidLastSave="{00000000-0000-0000-0000-000000000000}"/>
  <bookViews>
    <workbookView xWindow="0" yWindow="0" windowWidth="28215" windowHeight="23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5" i="1"/>
  <c r="N4" i="1"/>
  <c r="N3" i="1"/>
  <c r="N2" i="1"/>
  <c r="N9" i="1"/>
  <c r="K19" i="1"/>
  <c r="K48" i="1"/>
  <c r="K41" i="1"/>
  <c r="E3" i="1"/>
  <c r="K3" i="1" s="1"/>
  <c r="E4" i="1"/>
  <c r="K4" i="1" s="1"/>
  <c r="E5" i="1"/>
  <c r="K5" i="1" s="1"/>
  <c r="E6" i="1"/>
  <c r="K6" i="1" s="1"/>
  <c r="E7" i="1"/>
  <c r="K7" i="1" s="1"/>
  <c r="E8" i="1"/>
  <c r="K8" i="1" s="1"/>
  <c r="E9" i="1"/>
  <c r="K9" i="1" s="1"/>
  <c r="E10" i="1"/>
  <c r="K10" i="1" s="1"/>
  <c r="E11" i="1"/>
  <c r="K11" i="1" s="1"/>
  <c r="E12" i="1"/>
  <c r="K12" i="1" s="1"/>
  <c r="E13" i="1"/>
  <c r="K13" i="1" s="1"/>
  <c r="E14" i="1"/>
  <c r="K14" i="1" s="1"/>
  <c r="E15" i="1"/>
  <c r="K15" i="1" s="1"/>
  <c r="E16" i="1"/>
  <c r="K16" i="1" s="1"/>
  <c r="E17" i="1"/>
  <c r="K17" i="1" s="1"/>
  <c r="E18" i="1"/>
  <c r="K18" i="1" s="1"/>
  <c r="E19" i="1"/>
  <c r="E20" i="1"/>
  <c r="K20" i="1" s="1"/>
  <c r="E21" i="1"/>
  <c r="K21" i="1" s="1"/>
  <c r="E22" i="1"/>
  <c r="K22" i="1" s="1"/>
  <c r="E23" i="1"/>
  <c r="K23" i="1" s="1"/>
  <c r="E24" i="1"/>
  <c r="K24" i="1" s="1"/>
  <c r="E25" i="1"/>
  <c r="K25" i="1" s="1"/>
  <c r="E26" i="1"/>
  <c r="K26" i="1" s="1"/>
  <c r="E27" i="1"/>
  <c r="K27" i="1" s="1"/>
  <c r="E28" i="1"/>
  <c r="K28" i="1" s="1"/>
  <c r="E29" i="1"/>
  <c r="K29" i="1" s="1"/>
  <c r="E30" i="1"/>
  <c r="K30" i="1" s="1"/>
  <c r="E31" i="1"/>
  <c r="K31" i="1" s="1"/>
  <c r="E32" i="1"/>
  <c r="K32" i="1" s="1"/>
  <c r="E33" i="1"/>
  <c r="K33" i="1" s="1"/>
  <c r="E34" i="1"/>
  <c r="K34" i="1" s="1"/>
  <c r="E35" i="1"/>
  <c r="K35" i="1" s="1"/>
  <c r="E36" i="1"/>
  <c r="K36" i="1" s="1"/>
  <c r="E37" i="1"/>
  <c r="K37" i="1" s="1"/>
  <c r="E38" i="1"/>
  <c r="K38" i="1" s="1"/>
  <c r="E48" i="1"/>
  <c r="E39" i="1"/>
  <c r="K39" i="1" s="1"/>
  <c r="E40" i="1"/>
  <c r="K40" i="1" s="1"/>
  <c r="E41" i="1"/>
  <c r="E42" i="1"/>
  <c r="K42" i="1" s="1"/>
  <c r="E43" i="1"/>
  <c r="K43" i="1" s="1"/>
  <c r="E44" i="1"/>
  <c r="K44" i="1" s="1"/>
  <c r="E45" i="1"/>
  <c r="K45" i="1" s="1"/>
  <c r="E2" i="1"/>
  <c r="K2" i="1" s="1"/>
  <c r="J10" i="1"/>
  <c r="J16" i="1"/>
  <c r="J19" i="1"/>
  <c r="J15" i="1"/>
  <c r="J37" i="1"/>
  <c r="J6" i="1"/>
  <c r="J17" i="1"/>
  <c r="J36" i="1"/>
  <c r="J25" i="1"/>
  <c r="J34" i="1"/>
  <c r="J39" i="1"/>
  <c r="J31" i="1"/>
  <c r="J20" i="1"/>
  <c r="J28" i="1"/>
  <c r="J48" i="1"/>
  <c r="J42" i="1"/>
  <c r="J27" i="1"/>
  <c r="J30" i="1"/>
  <c r="J26" i="1"/>
  <c r="J9" i="1"/>
  <c r="J23" i="1"/>
  <c r="J12" i="1"/>
  <c r="J13" i="1"/>
  <c r="J40" i="1"/>
  <c r="J43" i="1"/>
  <c r="J32" i="1"/>
  <c r="J45" i="1"/>
  <c r="J8" i="1"/>
  <c r="J4" i="1"/>
  <c r="J44" i="1"/>
  <c r="J2" i="1"/>
  <c r="J21" i="1"/>
  <c r="J24" i="1"/>
  <c r="J29" i="1"/>
  <c r="J18" i="1"/>
  <c r="J22" i="1"/>
  <c r="J14" i="1"/>
  <c r="J41" i="1"/>
  <c r="J35" i="1"/>
  <c r="J38" i="1"/>
  <c r="J33" i="1"/>
  <c r="J11" i="1"/>
  <c r="J3" i="1"/>
  <c r="J5" i="1"/>
  <c r="J7" i="1"/>
</calcChain>
</file>

<file path=xl/sharedStrings.xml><?xml version="1.0" encoding="utf-8"?>
<sst xmlns="http://schemas.openxmlformats.org/spreadsheetml/2006/main" count="88" uniqueCount="78">
  <si>
    <t>ticker</t>
  </si>
  <si>
    <t>exog_var</t>
  </si>
  <si>
    <t>forecast_sale</t>
  </si>
  <si>
    <t>mean_market_value</t>
  </si>
  <si>
    <t>revenue_4q_sum</t>
  </si>
  <si>
    <t>roa</t>
  </si>
  <si>
    <t>market_cap</t>
  </si>
  <si>
    <t>AVGO</t>
  </si>
  <si>
    <t>META</t>
  </si>
  <si>
    <t>854239</t>
  </si>
  <si>
    <t>ABBV</t>
  </si>
  <si>
    <t>300290</t>
  </si>
  <si>
    <t>BLKB</t>
  </si>
  <si>
    <t>851762</t>
  </si>
  <si>
    <t>CARR</t>
  </si>
  <si>
    <t>854141</t>
  </si>
  <si>
    <t>CCK</t>
  </si>
  <si>
    <t>760429</t>
  </si>
  <si>
    <t>CHRW</t>
  </si>
  <si>
    <t>392321</t>
  </si>
  <si>
    <t>CSL</t>
  </si>
  <si>
    <t>300213</t>
  </si>
  <si>
    <t>EMR</t>
  </si>
  <si>
    <t>842139</t>
  </si>
  <si>
    <t>FI</t>
  </si>
  <si>
    <t>GE</t>
  </si>
  <si>
    <t>841191</t>
  </si>
  <si>
    <t>HRL</t>
  </si>
  <si>
    <t>KMB</t>
  </si>
  <si>
    <t>440131</t>
  </si>
  <si>
    <t>MNST</t>
  </si>
  <si>
    <t>NVR</t>
  </si>
  <si>
    <t>PLXS</t>
  </si>
  <si>
    <t>851769</t>
  </si>
  <si>
    <t>SAM</t>
  </si>
  <si>
    <t>230110</t>
  </si>
  <si>
    <t>SLVM</t>
  </si>
  <si>
    <t>470200</t>
  </si>
  <si>
    <t>TPR</t>
  </si>
  <si>
    <t>VRTX</t>
  </si>
  <si>
    <t>VVV</t>
  </si>
  <si>
    <t>381800</t>
  </si>
  <si>
    <t>DDOG</t>
  </si>
  <si>
    <t>NX</t>
  </si>
  <si>
    <t>391740</t>
  </si>
  <si>
    <t>ANET</t>
  </si>
  <si>
    <t>UI</t>
  </si>
  <si>
    <t>ORCL</t>
  </si>
  <si>
    <t>DXCM</t>
  </si>
  <si>
    <t>902750</t>
  </si>
  <si>
    <t>DRRX</t>
  </si>
  <si>
    <t>300241</t>
  </si>
  <si>
    <t>MELI</t>
  </si>
  <si>
    <t>TTD</t>
  </si>
  <si>
    <t>LOVE</t>
  </si>
  <si>
    <t>INVX</t>
  </si>
  <si>
    <t>WDAY</t>
  </si>
  <si>
    <t>PANW</t>
  </si>
  <si>
    <t>GMED</t>
  </si>
  <si>
    <t>902140</t>
  </si>
  <si>
    <t>CRM</t>
  </si>
  <si>
    <t>CRUS</t>
  </si>
  <si>
    <t>CAT</t>
  </si>
  <si>
    <t>842951</t>
  </si>
  <si>
    <t>CSCO</t>
  </si>
  <si>
    <t>EXTR</t>
  </si>
  <si>
    <t>AEIS</t>
  </si>
  <si>
    <t>848620</t>
  </si>
  <si>
    <t>HON</t>
  </si>
  <si>
    <t>880000</t>
  </si>
  <si>
    <t>AMD</t>
  </si>
  <si>
    <t>SMCI</t>
  </si>
  <si>
    <t>847149</t>
  </si>
  <si>
    <t>APH</t>
  </si>
  <si>
    <t>853670</t>
  </si>
  <si>
    <t>upside</t>
    <phoneticPr fontId="3" type="noConversion"/>
  </si>
  <si>
    <t>forecast_sales_re</t>
    <phoneticPr fontId="3" type="noConversion"/>
  </si>
  <si>
    <t>예상 매출증가율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</si>
</sst>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0" formatCode="0.0000"/>
  </numFmts>
  <fonts count="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  <xf numFmtId="41" fontId="0" fillId="0" borderId="0" xfId="1" applyFont="1" applyAlignment="1"/>
    <xf numFmtId="0" fontId="1" fillId="0" borderId="2" xfId="0" applyFont="1" applyFill="1" applyBorder="1" applyAlignment="1">
      <alignment horizontal="center" vertical="top"/>
    </xf>
    <xf numFmtId="43" fontId="0" fillId="0" borderId="0" xfId="0" applyNumberFormat="1"/>
    <xf numFmtId="10" fontId="0" fillId="0" borderId="0" xfId="2" applyNumberFormat="1" applyFont="1" applyAlignment="1"/>
    <xf numFmtId="0" fontId="4" fillId="0" borderId="0" xfId="0" applyFont="1"/>
    <xf numFmtId="41" fontId="4" fillId="0" borderId="0" xfId="1" applyFont="1" applyAlignment="1"/>
    <xf numFmtId="180" fontId="4" fillId="0" borderId="0" xfId="0" applyNumberFormat="1" applyFont="1"/>
    <xf numFmtId="43" fontId="4" fillId="0" borderId="0" xfId="0" applyNumberFormat="1" applyFont="1"/>
    <xf numFmtId="41" fontId="5" fillId="0" borderId="0" xfId="1" applyFont="1" applyAlignment="1"/>
    <xf numFmtId="0" fontId="6" fillId="0" borderId="0" xfId="0" applyFont="1"/>
    <xf numFmtId="41" fontId="6" fillId="0" borderId="0" xfId="1" applyFont="1" applyAlignment="1"/>
    <xf numFmtId="180" fontId="6" fillId="0" borderId="0" xfId="0" applyNumberFormat="1" applyFont="1"/>
    <xf numFmtId="43" fontId="6" fillId="0" borderId="0" xfId="0" applyNumberFormat="1" applyFont="1"/>
    <xf numFmtId="10" fontId="7" fillId="0" borderId="0" xfId="2" applyNumberFormat="1" applyFont="1" applyAlignment="1"/>
    <xf numFmtId="0" fontId="7" fillId="0" borderId="0" xfId="0" applyFont="1"/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workbookViewId="0">
      <selection activeCell="H18" sqref="H18"/>
    </sheetView>
  </sheetViews>
  <sheetFormatPr defaultRowHeight="16.5" x14ac:dyDescent="0.3"/>
  <cols>
    <col min="2" max="2" width="7.125" bestFit="1" customWidth="1"/>
    <col min="3" max="3" width="11.125" customWidth="1"/>
    <col min="4" max="4" width="17.125" customWidth="1"/>
    <col min="5" max="5" width="19.25" bestFit="1" customWidth="1"/>
    <col min="6" max="6" width="20.875" customWidth="1"/>
    <col min="7" max="7" width="20.875" bestFit="1" customWidth="1"/>
    <col min="8" max="8" width="22.25" customWidth="1"/>
    <col min="9" max="9" width="13.75" bestFit="1" customWidth="1"/>
    <col min="10" max="10" width="9.125" bestFit="1" customWidth="1"/>
    <col min="11" max="11" width="16.25" bestFit="1" customWidth="1"/>
  </cols>
  <sheetData>
    <row r="1" spans="1:14" x14ac:dyDescent="0.3">
      <c r="B1" s="1" t="s">
        <v>0</v>
      </c>
      <c r="C1" s="1" t="s">
        <v>1</v>
      </c>
      <c r="D1" s="1" t="s">
        <v>2</v>
      </c>
      <c r="E1" s="1" t="s">
        <v>76</v>
      </c>
      <c r="F1" s="1" t="s">
        <v>4</v>
      </c>
      <c r="G1" s="1" t="s">
        <v>3</v>
      </c>
      <c r="H1" s="1" t="s">
        <v>6</v>
      </c>
      <c r="I1" s="1" t="s">
        <v>5</v>
      </c>
      <c r="J1" s="4" t="s">
        <v>75</v>
      </c>
      <c r="K1" s="4" t="s">
        <v>77</v>
      </c>
    </row>
    <row r="2" spans="1:14" x14ac:dyDescent="0.3">
      <c r="A2" s="1">
        <v>31</v>
      </c>
      <c r="B2" s="12" t="s">
        <v>55</v>
      </c>
      <c r="C2" s="12"/>
      <c r="D2" s="13">
        <v>1002.748</v>
      </c>
      <c r="E2" s="13">
        <f>D2*1000000</f>
        <v>1002748000</v>
      </c>
      <c r="F2" s="13">
        <v>867153000</v>
      </c>
      <c r="G2" s="13">
        <v>2775633165.2045422</v>
      </c>
      <c r="H2" s="13">
        <v>1158929520</v>
      </c>
      <c r="I2" s="14">
        <v>0.11773957872381691</v>
      </c>
      <c r="J2" s="15">
        <f>(G2-H2)/H2</f>
        <v>1.3949973810353387</v>
      </c>
      <c r="K2" s="6">
        <f>(E2-F2)/F2</f>
        <v>0.15636802271340813</v>
      </c>
      <c r="L2">
        <v>0</v>
      </c>
      <c r="M2">
        <v>17.23</v>
      </c>
      <c r="N2">
        <f>7000/M2</f>
        <v>406.26813697040046</v>
      </c>
    </row>
    <row r="3" spans="1:14" x14ac:dyDescent="0.3">
      <c r="A3" s="1">
        <v>43</v>
      </c>
      <c r="B3" s="12" t="s">
        <v>71</v>
      </c>
      <c r="C3" s="12" t="s">
        <v>72</v>
      </c>
      <c r="D3" s="13">
        <v>31094.183576281499</v>
      </c>
      <c r="E3" s="13">
        <f t="shared" ref="E3:E45" si="0">D3*1000000</f>
        <v>31094183576.281498</v>
      </c>
      <c r="F3" s="13">
        <v>21972042000</v>
      </c>
      <c r="G3" s="13">
        <v>42893496275.939987</v>
      </c>
      <c r="H3" s="13">
        <v>24284524420</v>
      </c>
      <c r="I3" s="14">
        <v>7.4819653471869071E-2</v>
      </c>
      <c r="J3" s="15">
        <f>(G3-H3)/H3</f>
        <v>0.76628932624326795</v>
      </c>
      <c r="K3" s="6">
        <f t="shared" ref="K3:K45" si="1">(E3-F3)/F3</f>
        <v>0.41517040502113994</v>
      </c>
      <c r="L3">
        <v>0</v>
      </c>
      <c r="M3">
        <v>40</v>
      </c>
      <c r="N3">
        <f>7000/M3</f>
        <v>175</v>
      </c>
    </row>
    <row r="4" spans="1:14" x14ac:dyDescent="0.3">
      <c r="A4" s="1">
        <v>29</v>
      </c>
      <c r="B4" s="12" t="s">
        <v>53</v>
      </c>
      <c r="C4" s="12"/>
      <c r="D4" s="13">
        <v>3122.7469999999998</v>
      </c>
      <c r="E4" s="13">
        <f t="shared" si="0"/>
        <v>3122747000</v>
      </c>
      <c r="F4" s="13">
        <v>2679088000</v>
      </c>
      <c r="G4" s="13">
        <v>34354761292.77887</v>
      </c>
      <c r="H4" s="13">
        <v>25432369781</v>
      </c>
      <c r="I4" s="14">
        <v>7.002473560330652E-2</v>
      </c>
      <c r="J4" s="15">
        <f>(G4-H4)/H4</f>
        <v>0.35082816067123263</v>
      </c>
      <c r="K4" s="16">
        <f t="shared" si="1"/>
        <v>0.16560075667540597</v>
      </c>
      <c r="L4">
        <v>0</v>
      </c>
      <c r="M4">
        <v>52.03</v>
      </c>
      <c r="N4">
        <f>7000/M4</f>
        <v>134.53776667307324</v>
      </c>
    </row>
    <row r="5" spans="1:14" x14ac:dyDescent="0.3">
      <c r="A5" s="1">
        <v>44</v>
      </c>
      <c r="B5" s="12" t="s">
        <v>73</v>
      </c>
      <c r="C5" s="12" t="s">
        <v>74</v>
      </c>
      <c r="D5" s="13">
        <v>28029.21942269252</v>
      </c>
      <c r="E5" s="13">
        <f t="shared" si="0"/>
        <v>28029219422.69252</v>
      </c>
      <c r="F5" s="13">
        <v>18818000000</v>
      </c>
      <c r="G5" s="13">
        <v>180549879187.1936</v>
      </c>
      <c r="H5" s="13">
        <v>136791876800</v>
      </c>
      <c r="I5" s="14">
        <v>0.12387604992909571</v>
      </c>
      <c r="J5" s="15">
        <f>(G5-H5)/H5</f>
        <v>0.31988743345608955</v>
      </c>
      <c r="K5" s="16">
        <f t="shared" si="1"/>
        <v>0.48948981946500797</v>
      </c>
      <c r="L5" s="17">
        <v>0</v>
      </c>
      <c r="M5">
        <v>112.15</v>
      </c>
      <c r="N5">
        <f>7000/M5</f>
        <v>62.416406598305841</v>
      </c>
    </row>
    <row r="6" spans="1:14" x14ac:dyDescent="0.3">
      <c r="A6" s="1">
        <v>6</v>
      </c>
      <c r="B6" s="12" t="s">
        <v>18</v>
      </c>
      <c r="C6" s="12" t="s">
        <v>19</v>
      </c>
      <c r="D6" s="13">
        <v>17121.729042179399</v>
      </c>
      <c r="E6" s="13">
        <f t="shared" si="0"/>
        <v>17121729042.179399</v>
      </c>
      <c r="F6" s="13">
        <v>17012580000</v>
      </c>
      <c r="G6" s="13">
        <v>19745330452.90406</v>
      </c>
      <c r="H6" s="13">
        <v>15146942115</v>
      </c>
      <c r="I6" s="14">
        <v>0.1003977706504299</v>
      </c>
      <c r="J6" s="15">
        <f>(G6-H6)/H6</f>
        <v>0.30358525852886714</v>
      </c>
      <c r="K6" s="16">
        <f t="shared" si="1"/>
        <v>6.4157842125885369E-3</v>
      </c>
      <c r="L6">
        <v>0</v>
      </c>
      <c r="M6">
        <v>129</v>
      </c>
      <c r="N6">
        <f>7000/M6</f>
        <v>54.263565891472865</v>
      </c>
    </row>
    <row r="7" spans="1:14" x14ac:dyDescent="0.3">
      <c r="A7" s="1">
        <v>0</v>
      </c>
      <c r="B7" s="12" t="s">
        <v>7</v>
      </c>
      <c r="C7" s="12"/>
      <c r="D7" s="13">
        <v>99013.19794314442</v>
      </c>
      <c r="E7" s="13">
        <f t="shared" si="0"/>
        <v>99013197943.144424</v>
      </c>
      <c r="F7" s="13">
        <v>57046000000</v>
      </c>
      <c r="G7" s="13">
        <v>1824253238431.5659</v>
      </c>
      <c r="H7" s="13">
        <v>1436439738000</v>
      </c>
      <c r="I7" s="14">
        <v>7.8460790864362515E-2</v>
      </c>
      <c r="J7" s="15">
        <f>(G7-H7)/H7</f>
        <v>0.26998243655632276</v>
      </c>
      <c r="K7" s="16">
        <f t="shared" si="1"/>
        <v>0.73567292962073461</v>
      </c>
      <c r="L7">
        <v>0</v>
      </c>
    </row>
    <row r="8" spans="1:14" x14ac:dyDescent="0.3">
      <c r="A8" s="1">
        <v>28</v>
      </c>
      <c r="B8" s="7" t="s">
        <v>52</v>
      </c>
      <c r="C8" s="7" t="s">
        <v>9</v>
      </c>
      <c r="D8" s="8">
        <v>33044.771855807659</v>
      </c>
      <c r="E8" s="8">
        <f t="shared" si="0"/>
        <v>33044771855.807659</v>
      </c>
      <c r="F8" s="8">
        <v>24096000000</v>
      </c>
      <c r="G8" s="8">
        <v>151890890045.91229</v>
      </c>
      <c r="H8" s="8">
        <v>121458803024</v>
      </c>
      <c r="I8" s="9">
        <v>6.2310307150661652E-2</v>
      </c>
      <c r="J8" s="10">
        <f>(G8-H8)/H8</f>
        <v>0.25055480759100662</v>
      </c>
      <c r="K8" s="6">
        <f t="shared" si="1"/>
        <v>0.37137997409560336</v>
      </c>
      <c r="L8">
        <v>0</v>
      </c>
    </row>
    <row r="9" spans="1:14" x14ac:dyDescent="0.3">
      <c r="A9" s="1">
        <v>20</v>
      </c>
      <c r="B9" s="12" t="s">
        <v>40</v>
      </c>
      <c r="C9" s="12" t="s">
        <v>41</v>
      </c>
      <c r="D9" s="13">
        <v>1725.5673324854679</v>
      </c>
      <c r="E9" s="13">
        <f t="shared" si="0"/>
        <v>1725567332.4854679</v>
      </c>
      <c r="F9" s="13">
        <v>1692000000</v>
      </c>
      <c r="G9" s="13">
        <v>5975729737.4937534</v>
      </c>
      <c r="H9" s="13">
        <v>4910452450</v>
      </c>
      <c r="I9" s="14">
        <v>9.565359210633613E-2</v>
      </c>
      <c r="J9" s="15">
        <f>(G9-H9)/H9</f>
        <v>0.21694076021319653</v>
      </c>
      <c r="K9" s="16">
        <f t="shared" si="1"/>
        <v>1.9838848986683161E-2</v>
      </c>
      <c r="L9">
        <v>0</v>
      </c>
      <c r="M9">
        <v>38.94</v>
      </c>
      <c r="N9">
        <f>8000/M9</f>
        <v>205.44427324088343</v>
      </c>
    </row>
    <row r="10" spans="1:14" x14ac:dyDescent="0.3">
      <c r="A10" s="1">
        <v>1</v>
      </c>
      <c r="B10" s="12" t="s">
        <v>8</v>
      </c>
      <c r="C10" s="12" t="s">
        <v>9</v>
      </c>
      <c r="D10" s="13">
        <v>199369.8102727237</v>
      </c>
      <c r="E10" s="13">
        <f t="shared" si="0"/>
        <v>199369810272.72369</v>
      </c>
      <c r="F10" s="13">
        <v>178804000000</v>
      </c>
      <c r="G10" s="13">
        <v>2301085000000</v>
      </c>
      <c r="H10" s="13">
        <v>1893399878054</v>
      </c>
      <c r="I10" s="14">
        <v>0.24260714382650711</v>
      </c>
      <c r="J10" s="15">
        <f>(G10-H10)/H10</f>
        <v>0.21531908112564735</v>
      </c>
      <c r="K10" s="16">
        <f t="shared" si="1"/>
        <v>0.11501873712402236</v>
      </c>
    </row>
    <row r="11" spans="1:14" x14ac:dyDescent="0.3">
      <c r="A11" s="1">
        <v>42</v>
      </c>
      <c r="B11" t="s">
        <v>70</v>
      </c>
      <c r="C11" t="s">
        <v>9</v>
      </c>
      <c r="D11" s="3">
        <v>34424.639438222919</v>
      </c>
      <c r="E11" s="11">
        <f t="shared" si="0"/>
        <v>34424639438.222916</v>
      </c>
      <c r="F11" s="3">
        <v>29600000000</v>
      </c>
      <c r="G11" s="3">
        <v>311772797832.74597</v>
      </c>
      <c r="H11" s="3">
        <v>260319764400</v>
      </c>
      <c r="I11" s="2">
        <v>3.7877572841486233E-2</v>
      </c>
      <c r="J11" s="5">
        <f>(G11-H11)/H11</f>
        <v>0.19765319606576123</v>
      </c>
      <c r="K11" s="6">
        <f t="shared" si="1"/>
        <v>0.16299457561563904</v>
      </c>
    </row>
    <row r="12" spans="1:14" x14ac:dyDescent="0.3">
      <c r="A12" s="1">
        <v>22</v>
      </c>
      <c r="B12" t="s">
        <v>43</v>
      </c>
      <c r="C12" t="s">
        <v>44</v>
      </c>
      <c r="D12" s="3">
        <v>1711.0449950334189</v>
      </c>
      <c r="E12" s="11">
        <f t="shared" si="0"/>
        <v>1711044995.0334189</v>
      </c>
      <c r="F12" s="3">
        <v>1625028000</v>
      </c>
      <c r="G12" s="3">
        <v>1141368851.2824841</v>
      </c>
      <c r="H12" s="3">
        <v>954173766</v>
      </c>
      <c r="I12" s="2">
        <v>7.3921289834013928E-3</v>
      </c>
      <c r="J12" s="5">
        <f>(G12-H12)/H12</f>
        <v>0.1961855292534673</v>
      </c>
      <c r="K12" s="6">
        <f t="shared" si="1"/>
        <v>5.2932623335363388E-2</v>
      </c>
    </row>
    <row r="13" spans="1:14" x14ac:dyDescent="0.3">
      <c r="A13" s="1">
        <v>23</v>
      </c>
      <c r="B13" t="s">
        <v>45</v>
      </c>
      <c r="C13" t="s">
        <v>13</v>
      </c>
      <c r="D13" s="3">
        <v>8942.1674820142125</v>
      </c>
      <c r="E13" s="11">
        <f t="shared" si="0"/>
        <v>8942167482.0142117</v>
      </c>
      <c r="F13" s="3">
        <v>7950972000</v>
      </c>
      <c r="G13" s="3">
        <v>209723746238.34</v>
      </c>
      <c r="H13" s="3">
        <v>177130689100</v>
      </c>
      <c r="I13" s="2">
        <v>0.19665505437214981</v>
      </c>
      <c r="J13" s="5">
        <f>(G13-H13)/H13</f>
        <v>0.18400570394630728</v>
      </c>
      <c r="K13" s="6">
        <f t="shared" si="1"/>
        <v>0.12466343511387182</v>
      </c>
    </row>
    <row r="14" spans="1:14" x14ac:dyDescent="0.3">
      <c r="A14" s="1">
        <v>37</v>
      </c>
      <c r="B14" t="s">
        <v>62</v>
      </c>
      <c r="C14" t="s">
        <v>63</v>
      </c>
      <c r="D14" s="3">
        <v>69378.045389133302</v>
      </c>
      <c r="E14" s="11">
        <f t="shared" si="0"/>
        <v>69378045389.133301</v>
      </c>
      <c r="F14" s="3">
        <v>63139000000</v>
      </c>
      <c r="G14" s="3">
        <v>228054462047.8345</v>
      </c>
      <c r="H14" s="3">
        <v>194198599870</v>
      </c>
      <c r="I14" s="2">
        <v>0.1044782729034044</v>
      </c>
      <c r="J14" s="5">
        <f>(G14-H14)/H14</f>
        <v>0.17433628358030501</v>
      </c>
      <c r="K14" s="6">
        <f t="shared" si="1"/>
        <v>9.8814447316766196E-2</v>
      </c>
    </row>
    <row r="15" spans="1:14" x14ac:dyDescent="0.3">
      <c r="A15" s="1">
        <v>4</v>
      </c>
      <c r="B15" t="s">
        <v>14</v>
      </c>
      <c r="C15" t="s">
        <v>15</v>
      </c>
      <c r="D15" s="3">
        <v>22892.76737310231</v>
      </c>
      <c r="E15" s="11">
        <f t="shared" si="0"/>
        <v>22892767373.10231</v>
      </c>
      <c r="F15" s="3">
        <v>22463000000</v>
      </c>
      <c r="G15" s="3">
        <v>62232065900.283096</v>
      </c>
      <c r="H15" s="3">
        <v>53852735440</v>
      </c>
      <c r="I15" s="2">
        <v>0.10438261502091289</v>
      </c>
      <c r="J15" s="5">
        <f>(G15-H15)/H15</f>
        <v>0.15559711854598218</v>
      </c>
      <c r="K15" s="6">
        <f t="shared" si="1"/>
        <v>1.9132234033847225E-2</v>
      </c>
    </row>
    <row r="16" spans="1:14" x14ac:dyDescent="0.3">
      <c r="A16" s="1">
        <v>2</v>
      </c>
      <c r="B16" t="s">
        <v>10</v>
      </c>
      <c r="C16" t="s">
        <v>11</v>
      </c>
      <c r="D16" s="3">
        <v>62466.98970955905</v>
      </c>
      <c r="E16" s="11">
        <f t="shared" si="0"/>
        <v>62466989709.559052</v>
      </c>
      <c r="F16" s="3">
        <v>58328000000</v>
      </c>
      <c r="G16" s="3">
        <v>433165353323.43781</v>
      </c>
      <c r="H16" s="3">
        <v>375870971200</v>
      </c>
      <c r="I16" s="2">
        <v>2.7679653361730259E-2</v>
      </c>
      <c r="J16" s="5">
        <f>(G16-H16)/H16</f>
        <v>0.15243098433624874</v>
      </c>
      <c r="K16" s="6">
        <f t="shared" si="1"/>
        <v>7.0960597132750158E-2</v>
      </c>
    </row>
    <row r="17" spans="1:11" x14ac:dyDescent="0.3">
      <c r="A17" s="1">
        <v>7</v>
      </c>
      <c r="B17" t="s">
        <v>20</v>
      </c>
      <c r="C17" t="s">
        <v>21</v>
      </c>
      <c r="D17" s="3">
        <v>5177.5082896986214</v>
      </c>
      <c r="E17" s="11">
        <f t="shared" si="0"/>
        <v>5177508289.6986217</v>
      </c>
      <c r="F17" s="3">
        <v>5001800000</v>
      </c>
      <c r="G17" s="3">
        <v>18835037335.994492</v>
      </c>
      <c r="H17" s="3">
        <v>16359837876</v>
      </c>
      <c r="I17" s="2">
        <v>0.14606660144218581</v>
      </c>
      <c r="J17" s="5">
        <f>(G17-H17)/H17</f>
        <v>0.15129730983615841</v>
      </c>
      <c r="K17" s="6">
        <f t="shared" si="1"/>
        <v>3.5129011495585942E-2</v>
      </c>
    </row>
    <row r="18" spans="1:11" x14ac:dyDescent="0.3">
      <c r="A18" s="1">
        <v>35</v>
      </c>
      <c r="B18" t="s">
        <v>60</v>
      </c>
      <c r="D18" s="3">
        <v>20465.069345614131</v>
      </c>
      <c r="E18" s="11">
        <f t="shared" si="0"/>
        <v>20465069345.614132</v>
      </c>
      <c r="F18" s="3">
        <v>38591000000</v>
      </c>
      <c r="G18" s="3">
        <v>261637244266.79361</v>
      </c>
      <c r="H18" s="3">
        <v>230271720000</v>
      </c>
      <c r="I18" s="2">
        <v>6.2924652672142783E-2</v>
      </c>
      <c r="J18" s="5">
        <f>(G18-H18)/H18</f>
        <v>0.13621092623442257</v>
      </c>
      <c r="K18" s="6">
        <f t="shared" si="1"/>
        <v>-0.46969320967028239</v>
      </c>
    </row>
    <row r="19" spans="1:11" x14ac:dyDescent="0.3">
      <c r="A19" s="1">
        <v>3</v>
      </c>
      <c r="B19" t="s">
        <v>12</v>
      </c>
      <c r="C19" t="s">
        <v>13</v>
      </c>
      <c r="D19" s="3">
        <v>1139.3994140195171</v>
      </c>
      <c r="E19" s="11">
        <f t="shared" si="0"/>
        <v>1139399414.0195169</v>
      </c>
      <c r="F19" s="3">
        <v>1141002000</v>
      </c>
      <c r="G19" s="3">
        <v>3600466339.7324328</v>
      </c>
      <c r="H19" s="3">
        <v>3199634236</v>
      </c>
      <c r="I19" s="2">
        <v>-0.106250758254852</v>
      </c>
      <c r="J19" s="5">
        <f>(G19-H19)/H19</f>
        <v>0.1252743514313468</v>
      </c>
      <c r="K19" s="6">
        <f t="shared" si="1"/>
        <v>-1.4045426567903081E-3</v>
      </c>
    </row>
    <row r="20" spans="1:11" x14ac:dyDescent="0.3">
      <c r="A20" s="1">
        <v>13</v>
      </c>
      <c r="B20" t="s">
        <v>30</v>
      </c>
      <c r="D20" s="3">
        <v>4429.4374800233227</v>
      </c>
      <c r="E20" s="11">
        <f t="shared" si="0"/>
        <v>4429437480.0233231</v>
      </c>
      <c r="F20" s="3">
        <v>7659165000</v>
      </c>
      <c r="G20" s="3">
        <v>68969071564.601791</v>
      </c>
      <c r="H20" s="3">
        <v>61910417340</v>
      </c>
      <c r="I20" s="2">
        <v>0.18023335465472179</v>
      </c>
      <c r="J20" s="5">
        <f>(G20-H20)/H20</f>
        <v>0.11401399841705204</v>
      </c>
      <c r="K20" s="6">
        <f t="shared" si="1"/>
        <v>-0.42168141304916096</v>
      </c>
    </row>
    <row r="21" spans="1:11" x14ac:dyDescent="0.3">
      <c r="A21" s="1">
        <v>32</v>
      </c>
      <c r="B21" t="s">
        <v>56</v>
      </c>
      <c r="D21" s="3">
        <v>5074.068337067104</v>
      </c>
      <c r="E21" s="11">
        <f t="shared" si="0"/>
        <v>5074068337.0671043</v>
      </c>
      <c r="F21" s="3">
        <v>8937000000</v>
      </c>
      <c r="G21" s="3">
        <v>68047824378.82415</v>
      </c>
      <c r="H21" s="3">
        <v>61185719083</v>
      </c>
      <c r="I21" s="2">
        <v>3.2459217192806637E-2</v>
      </c>
      <c r="J21" s="5">
        <f>(G21-H21)/H21</f>
        <v>0.11215207402425929</v>
      </c>
      <c r="K21" s="6">
        <f t="shared" si="1"/>
        <v>-0.4322403113945279</v>
      </c>
    </row>
    <row r="22" spans="1:11" x14ac:dyDescent="0.3">
      <c r="A22" s="1">
        <v>36</v>
      </c>
      <c r="B22" t="s">
        <v>61</v>
      </c>
      <c r="C22" t="s">
        <v>15</v>
      </c>
      <c r="D22" s="3">
        <v>2020.7369480578441</v>
      </c>
      <c r="E22" s="11">
        <f t="shared" si="0"/>
        <v>2020736948.0578442</v>
      </c>
      <c r="F22" s="3">
        <v>1929323000</v>
      </c>
      <c r="G22" s="3">
        <v>6443515162.4440289</v>
      </c>
      <c r="H22" s="3">
        <v>5806698464</v>
      </c>
      <c r="I22" s="2">
        <v>0.15257175503558831</v>
      </c>
      <c r="J22" s="5">
        <f>(G22-H22)/H22</f>
        <v>0.10966932455544653</v>
      </c>
      <c r="K22" s="6">
        <f t="shared" si="1"/>
        <v>4.7381360227315053E-2</v>
      </c>
    </row>
    <row r="23" spans="1:11" x14ac:dyDescent="0.3">
      <c r="A23" s="1">
        <v>21</v>
      </c>
      <c r="B23" t="s">
        <v>42</v>
      </c>
      <c r="C23" t="s">
        <v>9</v>
      </c>
      <c r="D23" s="3">
        <v>4041.508080581888</v>
      </c>
      <c r="E23" s="11">
        <f t="shared" si="0"/>
        <v>4041508080.5818877</v>
      </c>
      <c r="F23" s="3">
        <v>3016056000</v>
      </c>
      <c r="G23" s="3">
        <v>50676968135.638519</v>
      </c>
      <c r="H23" s="3">
        <v>45732674526</v>
      </c>
      <c r="I23" s="2">
        <v>2.139661978749368E-2</v>
      </c>
      <c r="J23" s="5">
        <f>(G23-H23)/H23</f>
        <v>0.10811293371498715</v>
      </c>
      <c r="K23" s="6">
        <f t="shared" si="1"/>
        <v>0.3399976925434699</v>
      </c>
    </row>
    <row r="24" spans="1:11" x14ac:dyDescent="0.3">
      <c r="A24" s="1">
        <v>33</v>
      </c>
      <c r="B24" t="s">
        <v>57</v>
      </c>
      <c r="C24" t="s">
        <v>13</v>
      </c>
      <c r="D24" s="3">
        <v>10301.10594131652</v>
      </c>
      <c r="E24" s="11">
        <f t="shared" si="0"/>
        <v>10301105941.316521</v>
      </c>
      <c r="F24" s="3">
        <v>9221500000</v>
      </c>
      <c r="G24" s="3">
        <v>140812475368.6839</v>
      </c>
      <c r="H24" s="3">
        <v>127425268011</v>
      </c>
      <c r="I24" s="2">
        <v>4.8095112868061861E-2</v>
      </c>
      <c r="J24" s="5">
        <f>(G24-H24)/H24</f>
        <v>0.10505928350512275</v>
      </c>
      <c r="K24" s="6">
        <f t="shared" si="1"/>
        <v>0.1170748729942548</v>
      </c>
    </row>
    <row r="25" spans="1:11" x14ac:dyDescent="0.3">
      <c r="A25" s="1">
        <v>9</v>
      </c>
      <c r="B25" t="s">
        <v>24</v>
      </c>
      <c r="D25" s="3">
        <v>11064.44171676008</v>
      </c>
      <c r="E25" s="11">
        <f t="shared" si="0"/>
        <v>11064441716.76008</v>
      </c>
      <c r="F25" s="3">
        <v>21112000000</v>
      </c>
      <c r="G25" s="3">
        <v>81332572649.176086</v>
      </c>
      <c r="H25" s="3">
        <v>74173264850</v>
      </c>
      <c r="I25" s="2">
        <v>4.1444358587531122E-2</v>
      </c>
      <c r="J25" s="5">
        <f>(G25-H25)/H25</f>
        <v>9.6521405841502289E-2</v>
      </c>
      <c r="K25" s="6">
        <f t="shared" si="1"/>
        <v>-0.4759169327036718</v>
      </c>
    </row>
    <row r="26" spans="1:11" x14ac:dyDescent="0.3">
      <c r="A26" s="1">
        <v>19</v>
      </c>
      <c r="B26" t="s">
        <v>39</v>
      </c>
      <c r="D26" s="3">
        <v>6243.9548544241516</v>
      </c>
      <c r="E26" s="11">
        <f t="shared" si="0"/>
        <v>6243954854.4241514</v>
      </c>
      <c r="F26" s="3">
        <v>11418800000</v>
      </c>
      <c r="G26" s="3">
        <v>111826908843.9377</v>
      </c>
      <c r="H26" s="3">
        <v>102002595440</v>
      </c>
      <c r="I26" s="2">
        <v>0.1513352498471088</v>
      </c>
      <c r="J26" s="5">
        <f>(G26-H26)/H26</f>
        <v>9.6314347312040305E-2</v>
      </c>
      <c r="K26" s="6">
        <f t="shared" si="1"/>
        <v>-0.45318642463094622</v>
      </c>
    </row>
    <row r="27" spans="1:11" x14ac:dyDescent="0.3">
      <c r="A27" s="1">
        <v>17</v>
      </c>
      <c r="B27" t="s">
        <v>36</v>
      </c>
      <c r="C27" t="s">
        <v>37</v>
      </c>
      <c r="D27" s="3">
        <v>3042.708880804762</v>
      </c>
      <c r="E27" s="11">
        <f t="shared" si="0"/>
        <v>3042708880.8047619</v>
      </c>
      <c r="F27" s="3">
        <v>3550000000</v>
      </c>
      <c r="G27" s="3">
        <v>1945429014.659904</v>
      </c>
      <c r="H27" s="3">
        <v>1780025950</v>
      </c>
      <c r="I27" s="2">
        <v>8.1709145427286356E-2</v>
      </c>
      <c r="J27" s="5">
        <f>(G27-H27)/H27</f>
        <v>9.2921715360331683E-2</v>
      </c>
      <c r="K27" s="6">
        <f t="shared" si="1"/>
        <v>-0.14289890681556003</v>
      </c>
    </row>
    <row r="28" spans="1:11" x14ac:dyDescent="0.3">
      <c r="A28" s="1">
        <v>14</v>
      </c>
      <c r="B28" t="s">
        <v>31</v>
      </c>
      <c r="D28" s="3">
        <v>5505.0119510191826</v>
      </c>
      <c r="E28" s="11">
        <f t="shared" si="0"/>
        <v>5505011951.0191822</v>
      </c>
      <c r="F28" s="3">
        <v>10542639000</v>
      </c>
      <c r="G28" s="3">
        <v>26054174808.859871</v>
      </c>
      <c r="H28" s="3">
        <v>23904085194</v>
      </c>
      <c r="I28" s="2">
        <v>0.25593218369922982</v>
      </c>
      <c r="J28" s="5">
        <f>(G28-H28)/H28</f>
        <v>8.9946534134657044E-2</v>
      </c>
      <c r="K28" s="6">
        <f t="shared" si="1"/>
        <v>-0.47783359071488818</v>
      </c>
    </row>
    <row r="29" spans="1:11" x14ac:dyDescent="0.3">
      <c r="A29" s="1">
        <v>34</v>
      </c>
      <c r="B29" t="s">
        <v>58</v>
      </c>
      <c r="C29" t="s">
        <v>59</v>
      </c>
      <c r="D29" s="3">
        <v>3468.4627352161701</v>
      </c>
      <c r="E29" s="11">
        <f t="shared" si="0"/>
        <v>3468462735.2161703</v>
      </c>
      <c r="F29" s="3">
        <v>2626461000</v>
      </c>
      <c r="G29" s="3">
        <v>8710146674.0484142</v>
      </c>
      <c r="H29" s="3">
        <v>8027233802</v>
      </c>
      <c r="I29" s="2">
        <v>7.1889256572498492E-2</v>
      </c>
      <c r="J29" s="5">
        <f>(G29-H29)/H29</f>
        <v>8.5074496257760077E-2</v>
      </c>
      <c r="K29" s="6">
        <f t="shared" si="1"/>
        <v>0.32058413782506967</v>
      </c>
    </row>
    <row r="30" spans="1:11" x14ac:dyDescent="0.3">
      <c r="A30" s="1">
        <v>18</v>
      </c>
      <c r="B30" t="s">
        <v>38</v>
      </c>
      <c r="D30" s="3">
        <v>3826.86358686838</v>
      </c>
      <c r="E30" s="11">
        <f t="shared" si="0"/>
        <v>3826863586.8683801</v>
      </c>
      <c r="F30" s="3">
        <v>7010700000</v>
      </c>
      <c r="G30" s="3">
        <v>23170026418.305538</v>
      </c>
      <c r="H30" s="3">
        <v>21636571040</v>
      </c>
      <c r="I30" s="2">
        <v>2.7839829800167162E-2</v>
      </c>
      <c r="J30" s="5">
        <f>(G30-H30)/H30</f>
        <v>7.0873308689745979E-2</v>
      </c>
      <c r="K30" s="6">
        <f t="shared" si="1"/>
        <v>-0.45413958850494529</v>
      </c>
    </row>
    <row r="31" spans="1:11" x14ac:dyDescent="0.3">
      <c r="A31" s="1">
        <v>12</v>
      </c>
      <c r="B31" t="s">
        <v>28</v>
      </c>
      <c r="C31" t="s">
        <v>29</v>
      </c>
      <c r="D31" s="3">
        <v>17822.353132085002</v>
      </c>
      <c r="E31" s="11">
        <f t="shared" si="0"/>
        <v>17822353132.085003</v>
      </c>
      <c r="F31" s="3">
        <v>18883000000</v>
      </c>
      <c r="G31" s="3">
        <v>44580417924.375229</v>
      </c>
      <c r="H31" s="3">
        <v>42847728100</v>
      </c>
      <c r="I31" s="2">
        <v>0.1448929700077515</v>
      </c>
      <c r="J31" s="5">
        <f>(G31-H31)/H31</f>
        <v>4.0438312629584409E-2</v>
      </c>
      <c r="K31" s="6">
        <f t="shared" si="1"/>
        <v>-5.6169404645183343E-2</v>
      </c>
    </row>
    <row r="32" spans="1:11" x14ac:dyDescent="0.3">
      <c r="A32" s="1">
        <v>26</v>
      </c>
      <c r="B32" t="s">
        <v>48</v>
      </c>
      <c r="C32" t="s">
        <v>49</v>
      </c>
      <c r="D32" s="3">
        <v>5058.2164599714852</v>
      </c>
      <c r="E32" s="11">
        <f t="shared" si="0"/>
        <v>5058216459.9714851</v>
      </c>
      <c r="F32" s="3">
        <v>4300800000</v>
      </c>
      <c r="G32" s="3">
        <v>32508670739.777401</v>
      </c>
      <c r="H32" s="3">
        <v>31364556900</v>
      </c>
      <c r="I32" s="2">
        <v>7.7999181110959465E-2</v>
      </c>
      <c r="J32" s="5">
        <f>(G32-H32)/H32</f>
        <v>3.6477921350051047E-2</v>
      </c>
      <c r="K32" s="6">
        <f t="shared" si="1"/>
        <v>0.17611059802164367</v>
      </c>
    </row>
    <row r="33" spans="1:11" x14ac:dyDescent="0.3">
      <c r="A33" s="1">
        <v>41</v>
      </c>
      <c r="B33" t="s">
        <v>68</v>
      </c>
      <c r="C33" t="s">
        <v>69</v>
      </c>
      <c r="D33" s="3">
        <v>41684.783220368437</v>
      </c>
      <c r="E33" s="11">
        <f t="shared" si="0"/>
        <v>41684783220.368439</v>
      </c>
      <c r="F33" s="3">
        <v>39991000000</v>
      </c>
      <c r="G33" s="3">
        <v>141129296804.5976</v>
      </c>
      <c r="H33" s="3">
        <v>136452063240</v>
      </c>
      <c r="I33" s="2">
        <v>7.2903250487764443E-2</v>
      </c>
      <c r="J33" s="5">
        <f>(G33-H33)/H33</f>
        <v>3.4277485100177627E-2</v>
      </c>
      <c r="K33" s="6">
        <f t="shared" si="1"/>
        <v>4.2354110184002369E-2</v>
      </c>
    </row>
    <row r="34" spans="1:11" x14ac:dyDescent="0.3">
      <c r="A34" s="1">
        <v>10</v>
      </c>
      <c r="B34" t="s">
        <v>25</v>
      </c>
      <c r="C34" t="s">
        <v>26</v>
      </c>
      <c r="D34" s="3">
        <v>41801.129717936878</v>
      </c>
      <c r="E34" s="11">
        <f t="shared" si="0"/>
        <v>41801129717.936874</v>
      </c>
      <c r="F34" s="3">
        <v>41610000000</v>
      </c>
      <c r="G34" s="3">
        <v>306262103044.29498</v>
      </c>
      <c r="H34" s="3">
        <v>297432211200</v>
      </c>
      <c r="I34" s="2">
        <v>6.1929169061761512E-2</v>
      </c>
      <c r="J34" s="5">
        <f>(G34-H34)/H34</f>
        <v>2.9687073261737508E-2</v>
      </c>
      <c r="K34" s="6">
        <f t="shared" si="1"/>
        <v>4.5933602003574714E-3</v>
      </c>
    </row>
    <row r="35" spans="1:11" x14ac:dyDescent="0.3">
      <c r="A35" s="1">
        <v>39</v>
      </c>
      <c r="B35" t="s">
        <v>65</v>
      </c>
      <c r="C35" t="s">
        <v>13</v>
      </c>
      <c r="D35" s="3">
        <v>1238.4357106916621</v>
      </c>
      <c r="E35" s="11">
        <f t="shared" si="0"/>
        <v>1238435710.6916621</v>
      </c>
      <c r="F35" s="3">
        <v>1140067000</v>
      </c>
      <c r="G35" s="3">
        <v>2993449415.9734879</v>
      </c>
      <c r="H35" s="3">
        <v>2927252545</v>
      </c>
      <c r="I35" s="2">
        <v>-6.4749249491423133E-3</v>
      </c>
      <c r="J35" s="5">
        <f>(G35-H35)/H35</f>
        <v>2.2613993823852957E-2</v>
      </c>
      <c r="K35" s="6">
        <f t="shared" si="1"/>
        <v>8.628327167759621E-2</v>
      </c>
    </row>
    <row r="36" spans="1:11" x14ac:dyDescent="0.3">
      <c r="A36" s="1">
        <v>8</v>
      </c>
      <c r="B36" t="s">
        <v>22</v>
      </c>
      <c r="C36" t="s">
        <v>23</v>
      </c>
      <c r="D36" s="3">
        <v>18691.174310973369</v>
      </c>
      <c r="E36" s="11">
        <f t="shared" si="0"/>
        <v>18691174310.97337</v>
      </c>
      <c r="F36" s="3">
        <v>17775000000</v>
      </c>
      <c r="G36" s="3">
        <v>74975183486.380798</v>
      </c>
      <c r="H36" s="3">
        <v>73684590000</v>
      </c>
      <c r="I36" s="2">
        <v>6.2375049980008E-2</v>
      </c>
      <c r="J36" s="5">
        <f>(G36-H36)/H36</f>
        <v>1.7515107112366347E-2</v>
      </c>
      <c r="K36" s="6">
        <f t="shared" si="1"/>
        <v>5.1542858563902651E-2</v>
      </c>
    </row>
    <row r="37" spans="1:11" x14ac:dyDescent="0.3">
      <c r="A37" s="1">
        <v>5</v>
      </c>
      <c r="B37" t="s">
        <v>16</v>
      </c>
      <c r="C37" t="s">
        <v>17</v>
      </c>
      <c r="D37" s="3">
        <v>12441.08901315501</v>
      </c>
      <c r="E37" s="11">
        <f t="shared" si="0"/>
        <v>12441089013.15501</v>
      </c>
      <c r="F37" s="3">
        <v>12013000000</v>
      </c>
      <c r="G37" s="3">
        <v>10845680161.976879</v>
      </c>
      <c r="H37" s="3">
        <v>10668187920</v>
      </c>
      <c r="I37" s="2">
        <v>3.840309435004835E-2</v>
      </c>
      <c r="J37" s="5">
        <f>(G37-H37)/H37</f>
        <v>1.6637524883127398E-2</v>
      </c>
      <c r="K37" s="6">
        <f t="shared" si="1"/>
        <v>3.5635479326979955E-2</v>
      </c>
    </row>
    <row r="38" spans="1:11" x14ac:dyDescent="0.3">
      <c r="A38" s="1">
        <v>40</v>
      </c>
      <c r="B38" t="s">
        <v>66</v>
      </c>
      <c r="C38" t="s">
        <v>67</v>
      </c>
      <c r="D38" s="3">
        <v>1875.796156030565</v>
      </c>
      <c r="E38" s="11">
        <f t="shared" si="0"/>
        <v>1875796156.030565</v>
      </c>
      <c r="F38" s="3">
        <v>1635720000</v>
      </c>
      <c r="G38" s="3">
        <v>5590755255.079895</v>
      </c>
      <c r="H38" s="3">
        <v>5598416595</v>
      </c>
      <c r="I38" s="2">
        <v>3.5244999159522609E-2</v>
      </c>
      <c r="J38" s="5">
        <f>(G38-H38)/H38</f>
        <v>-1.3684833541947195E-3</v>
      </c>
      <c r="K38" s="6">
        <f t="shared" si="1"/>
        <v>0.14677093636475988</v>
      </c>
    </row>
    <row r="39" spans="1:11" x14ac:dyDescent="0.3">
      <c r="A39" s="1">
        <v>11</v>
      </c>
      <c r="B39" t="s">
        <v>27</v>
      </c>
      <c r="D39" s="3">
        <v>6177.9551527984031</v>
      </c>
      <c r="E39" s="11">
        <f t="shared" si="0"/>
        <v>6177955152.7984028</v>
      </c>
      <c r="F39" s="3">
        <v>12058590000</v>
      </c>
      <c r="G39" s="3">
        <v>13475908561.32308</v>
      </c>
      <c r="H39" s="3">
        <v>13824360300</v>
      </c>
      <c r="I39" s="2">
        <v>5.5904669028622199E-2</v>
      </c>
      <c r="J39" s="5">
        <f>(G39-H39)/H39</f>
        <v>-2.5205632023126593E-2</v>
      </c>
      <c r="K39" s="6">
        <f t="shared" si="1"/>
        <v>-0.48767184614466513</v>
      </c>
    </row>
    <row r="40" spans="1:11" x14ac:dyDescent="0.3">
      <c r="A40" s="1">
        <v>24</v>
      </c>
      <c r="B40" t="s">
        <v>46</v>
      </c>
      <c r="C40" t="s">
        <v>13</v>
      </c>
      <c r="D40" s="3">
        <v>3346.6275205801521</v>
      </c>
      <c r="E40" s="11">
        <f t="shared" si="0"/>
        <v>3346627520.580152</v>
      </c>
      <c r="F40" s="3">
        <v>2573545000</v>
      </c>
      <c r="G40" s="3">
        <v>32273056398.524731</v>
      </c>
      <c r="H40" s="3">
        <v>33915132971</v>
      </c>
      <c r="I40" s="2">
        <v>0.48547343211604072</v>
      </c>
      <c r="J40" s="5">
        <f>(G40-H40)/H40</f>
        <v>-4.841722348190021E-2</v>
      </c>
      <c r="K40" s="6">
        <f t="shared" si="1"/>
        <v>0.30039595988418777</v>
      </c>
    </row>
    <row r="41" spans="1:11" x14ac:dyDescent="0.3">
      <c r="A41" s="1">
        <v>38</v>
      </c>
      <c r="B41" t="s">
        <v>64</v>
      </c>
      <c r="C41" t="s">
        <v>13</v>
      </c>
      <c r="D41" s="3">
        <v>54535.675387356183</v>
      </c>
      <c r="E41" s="11">
        <f t="shared" si="0"/>
        <v>54535675387.356186</v>
      </c>
      <c r="F41" s="3">
        <v>56654000000</v>
      </c>
      <c r="G41" s="3">
        <v>250535863983.52771</v>
      </c>
      <c r="H41" s="3">
        <v>269297424000</v>
      </c>
      <c r="I41" s="2">
        <v>8.5286054632681699E-2</v>
      </c>
      <c r="J41" s="5">
        <f>(G41-H41)/H41</f>
        <v>-6.966854616653255E-2</v>
      </c>
      <c r="K41" s="6">
        <f t="shared" si="1"/>
        <v>-3.739055693585297E-2</v>
      </c>
    </row>
    <row r="42" spans="1:11" x14ac:dyDescent="0.3">
      <c r="A42" s="1">
        <v>16</v>
      </c>
      <c r="B42" t="s">
        <v>34</v>
      </c>
      <c r="C42" t="s">
        <v>35</v>
      </c>
      <c r="D42" s="3">
        <v>1977.5749853451191</v>
      </c>
      <c r="E42" s="11">
        <f t="shared" si="0"/>
        <v>1977574985.345119</v>
      </c>
      <c r="F42" s="3">
        <v>2114016000</v>
      </c>
      <c r="G42" s="3">
        <v>2216913893.153666</v>
      </c>
      <c r="H42" s="3">
        <v>2413457968</v>
      </c>
      <c r="I42" s="2">
        <v>6.2769031820565285E-2</v>
      </c>
      <c r="J42" s="5">
        <f>(G42-H42)/H42</f>
        <v>-8.1436709257964576E-2</v>
      </c>
      <c r="K42" s="6">
        <f t="shared" si="1"/>
        <v>-6.4541145693732219E-2</v>
      </c>
    </row>
    <row r="43" spans="1:11" x14ac:dyDescent="0.3">
      <c r="A43" s="1">
        <v>25</v>
      </c>
      <c r="B43" t="s">
        <v>47</v>
      </c>
      <c r="C43" t="s">
        <v>13</v>
      </c>
      <c r="D43" s="3">
        <v>63519.035087328157</v>
      </c>
      <c r="E43" s="11">
        <f t="shared" si="0"/>
        <v>63519035087.328156</v>
      </c>
      <c r="F43" s="3">
        <v>57399000000</v>
      </c>
      <c r="G43" s="3">
        <v>571291537630.87549</v>
      </c>
      <c r="H43" s="3">
        <v>622703566850</v>
      </c>
      <c r="I43" s="2">
        <v>7.3906664845183864E-2</v>
      </c>
      <c r="J43" s="5">
        <f>(G43-H43)/H43</f>
        <v>-8.2562605959038776E-2</v>
      </c>
      <c r="K43" s="6">
        <f t="shared" si="1"/>
        <v>0.10662267787466952</v>
      </c>
    </row>
    <row r="44" spans="1:11" x14ac:dyDescent="0.3">
      <c r="A44" s="1">
        <v>30</v>
      </c>
      <c r="B44" t="s">
        <v>54</v>
      </c>
      <c r="D44" s="3">
        <v>304.18110507341362</v>
      </c>
      <c r="E44" s="11">
        <f t="shared" si="0"/>
        <v>304181105.07341361</v>
      </c>
      <c r="F44" s="3">
        <v>686358000</v>
      </c>
      <c r="G44" s="3">
        <v>245050567.7252402</v>
      </c>
      <c r="H44" s="3">
        <v>272068170</v>
      </c>
      <c r="I44" s="2">
        <v>2.8271385454996481E-2</v>
      </c>
      <c r="J44" s="5">
        <f>(G44-H44)/H44</f>
        <v>-9.9304531929478551E-2</v>
      </c>
      <c r="K44" s="6">
        <f t="shared" si="1"/>
        <v>-0.55681859164836189</v>
      </c>
    </row>
    <row r="45" spans="1:11" x14ac:dyDescent="0.3">
      <c r="A45" s="1">
        <v>27</v>
      </c>
      <c r="B45" t="s">
        <v>50</v>
      </c>
      <c r="C45" t="s">
        <v>51</v>
      </c>
      <c r="D45" s="3">
        <v>2.349665818115835</v>
      </c>
      <c r="E45" s="11">
        <f t="shared" si="0"/>
        <v>2349665.8181158351</v>
      </c>
      <c r="F45" s="3">
        <v>3148000</v>
      </c>
      <c r="G45" s="3">
        <v>23481587.381129231</v>
      </c>
      <c r="H45" s="3">
        <v>59624064</v>
      </c>
      <c r="I45" s="2">
        <v>-0.2786412433904823</v>
      </c>
      <c r="J45" s="5">
        <f>(G45-H45)/H45</f>
        <v>-0.60617264564305384</v>
      </c>
      <c r="K45" s="6">
        <f t="shared" si="1"/>
        <v>-0.25360043897209811</v>
      </c>
    </row>
    <row r="48" spans="1:11" x14ac:dyDescent="0.3">
      <c r="A48" s="1">
        <v>15</v>
      </c>
      <c r="B48" t="s">
        <v>32</v>
      </c>
      <c r="C48" t="s">
        <v>33</v>
      </c>
      <c r="D48" s="3">
        <v>4161.0478871353944</v>
      </c>
      <c r="E48" s="11">
        <f>D48*1000000</f>
        <v>4161047887.1353946</v>
      </c>
      <c r="F48" s="3">
        <v>4025169000</v>
      </c>
      <c r="G48" s="3">
        <v>3679507998.8174481</v>
      </c>
      <c r="H48" s="3">
        <v>3694956895</v>
      </c>
      <c r="I48" s="2">
        <v>635.45703125</v>
      </c>
      <c r="J48" s="5">
        <f>(G48-H48)/H48</f>
        <v>-4.1810761590905816E-3</v>
      </c>
      <c r="K48" s="6">
        <f>(E48-F48)/F48</f>
        <v>3.3757312335306808E-2</v>
      </c>
    </row>
  </sheetData>
  <sortState xmlns:xlrd2="http://schemas.microsoft.com/office/spreadsheetml/2017/richdata2" ref="A2:J45">
    <sortCondition descending="1" ref="J2:J45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2025-09-04T15:15:07Z</dcterms:created>
  <dcterms:modified xsi:type="dcterms:W3CDTF">2025-09-04T16:42:19Z</dcterms:modified>
</cp:coreProperties>
</file>